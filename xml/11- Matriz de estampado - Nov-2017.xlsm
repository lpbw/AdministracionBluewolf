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" yWindow="15" windowWidth="14385" windowHeight="12975" tabRatio="475" firstSheet="1" activeTab="2"/>
  </bookViews>
  <sheets>
    <sheet name="Toma de tiempos" sheetId="13" r:id="rId1"/>
    <sheet name="Matriz" sheetId="5" r:id="rId2"/>
    <sheet name="Secuencia de estampado" sheetId="23" r:id="rId3"/>
    <sheet name="Estampados por manguera" sheetId="11" r:id="rId4"/>
    <sheet name="Mangueras por contenedor" sheetId="14" r:id="rId5"/>
    <sheet name="Mangueras con manga" sheetId="17" r:id="rId6"/>
  </sheets>
  <definedNames>
    <definedName name="_xlnm._FilterDatabase" localSheetId="1" hidden="1">Matriz!$A$79:$AAV$79</definedName>
    <definedName name="_xlnm.Print_Area" localSheetId="1">Matriz!#REF!</definedName>
    <definedName name="_xlnm.Print_Area" localSheetId="2">'Secuencia de estampado'!$A$293:$O$316</definedName>
  </definedNames>
  <calcPr calcId="125725"/>
</workbook>
</file>

<file path=xl/calcChain.xml><?xml version="1.0" encoding="utf-8"?>
<calcChain xmlns="http://schemas.openxmlformats.org/spreadsheetml/2006/main">
  <c r="AS74" i="5"/>
  <c r="AT74"/>
  <c r="AU74"/>
  <c r="AV74"/>
  <c r="AW74"/>
  <c r="AX74"/>
  <c r="AY74"/>
  <c r="AZ74"/>
  <c r="BA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U74"/>
  <c r="AS108" l="1"/>
  <c r="AT108"/>
  <c r="AU108"/>
  <c r="AV108"/>
  <c r="AW108"/>
  <c r="AX108"/>
  <c r="AY108"/>
  <c r="AZ108"/>
  <c r="BA108"/>
  <c r="AH108"/>
  <c r="AI108"/>
  <c r="AJ108"/>
  <c r="AK108"/>
  <c r="AL108"/>
  <c r="AM108"/>
  <c r="AN108"/>
  <c r="AO108"/>
  <c r="AP108"/>
  <c r="AQ108"/>
  <c r="AR108"/>
  <c r="F152" l="1"/>
  <c r="G152" s="1"/>
  <c r="M152"/>
  <c r="Q152" s="1"/>
  <c r="F144"/>
  <c r="M144"/>
  <c r="N144" s="1"/>
  <c r="O144" s="1"/>
  <c r="F132"/>
  <c r="G132" s="1"/>
  <c r="M132"/>
  <c r="Q132" s="1"/>
  <c r="F88"/>
  <c r="G88" s="1"/>
  <c r="M88"/>
  <c r="Q88" s="1"/>
  <c r="F103"/>
  <c r="G103" s="1"/>
  <c r="M103"/>
  <c r="N103" s="1"/>
  <c r="O103" s="1"/>
  <c r="F104"/>
  <c r="G104" s="1"/>
  <c r="M104"/>
  <c r="N104" s="1"/>
  <c r="O104" s="1"/>
  <c r="F105"/>
  <c r="G105" s="1"/>
  <c r="M105"/>
  <c r="F106"/>
  <c r="G106" s="1"/>
  <c r="M106"/>
  <c r="N106" s="1"/>
  <c r="O106" s="1"/>
  <c r="F92"/>
  <c r="G92" s="1"/>
  <c r="M92"/>
  <c r="Q92" s="1"/>
  <c r="F91"/>
  <c r="G91" s="1"/>
  <c r="M91"/>
  <c r="Q91" s="1"/>
  <c r="F93"/>
  <c r="G93" s="1"/>
  <c r="M93"/>
  <c r="Q93" s="1"/>
  <c r="F95"/>
  <c r="G95" s="1"/>
  <c r="M95"/>
  <c r="N95" s="1"/>
  <c r="O95" s="1"/>
  <c r="F107"/>
  <c r="G107" s="1"/>
  <c r="M107"/>
  <c r="N107" s="1"/>
  <c r="O107" s="1"/>
  <c r="F38"/>
  <c r="G38" s="1"/>
  <c r="M38"/>
  <c r="Q38" s="1"/>
  <c r="F68"/>
  <c r="G68" s="1"/>
  <c r="M68"/>
  <c r="N68" s="1"/>
  <c r="O68" s="1"/>
  <c r="F63"/>
  <c r="G63" s="1"/>
  <c r="M63"/>
  <c r="F64"/>
  <c r="G64" s="1"/>
  <c r="M64"/>
  <c r="F56"/>
  <c r="G56" s="1"/>
  <c r="M56"/>
  <c r="Q56" s="1"/>
  <c r="F69"/>
  <c r="G69" s="1"/>
  <c r="M69"/>
  <c r="N69" s="1"/>
  <c r="O69" s="1"/>
  <c r="F70"/>
  <c r="G70" s="1"/>
  <c r="M70"/>
  <c r="F71"/>
  <c r="G71" s="1"/>
  <c r="M71"/>
  <c r="N71" s="1"/>
  <c r="O71" s="1"/>
  <c r="F72"/>
  <c r="G72" s="1"/>
  <c r="M72"/>
  <c r="N72" s="1"/>
  <c r="O72" s="1"/>
  <c r="F62"/>
  <c r="G62" s="1"/>
  <c r="M62"/>
  <c r="N62" s="1"/>
  <c r="O62" s="1"/>
  <c r="F73"/>
  <c r="G73" s="1"/>
  <c r="M73"/>
  <c r="N73" s="1"/>
  <c r="O73" s="1"/>
  <c r="F40"/>
  <c r="G40" s="1"/>
  <c r="M40"/>
  <c r="Q40" s="1"/>
  <c r="F7"/>
  <c r="G7" s="1"/>
  <c r="M7"/>
  <c r="Q7" s="1"/>
  <c r="F8"/>
  <c r="M8"/>
  <c r="Q8" s="1"/>
  <c r="F6"/>
  <c r="M6"/>
  <c r="Q6" s="1"/>
  <c r="F9"/>
  <c r="G9" s="1"/>
  <c r="M9"/>
  <c r="Q9" s="1"/>
  <c r="F10"/>
  <c r="G10" s="1"/>
  <c r="M10"/>
  <c r="Q10" s="1"/>
  <c r="F5"/>
  <c r="G5" s="1"/>
  <c r="M5"/>
  <c r="Q5" s="1"/>
  <c r="F11"/>
  <c r="M11"/>
  <c r="Q11" s="1"/>
  <c r="F16"/>
  <c r="M16"/>
  <c r="F24"/>
  <c r="G24" s="1"/>
  <c r="M24"/>
  <c r="F23"/>
  <c r="G23" s="1"/>
  <c r="M23"/>
  <c r="F30"/>
  <c r="M30"/>
  <c r="F26"/>
  <c r="G26" s="1"/>
  <c r="M26"/>
  <c r="M160"/>
  <c r="N160" s="1"/>
  <c r="O160" s="1"/>
  <c r="F160"/>
  <c r="G160" s="1"/>
  <c r="M154"/>
  <c r="Q154" s="1"/>
  <c r="F154"/>
  <c r="G154" s="1"/>
  <c r="M149"/>
  <c r="Q149" s="1"/>
  <c r="F149"/>
  <c r="G149" s="1"/>
  <c r="I149" s="1"/>
  <c r="M156"/>
  <c r="N156" s="1"/>
  <c r="O156" s="1"/>
  <c r="F156"/>
  <c r="G156" s="1"/>
  <c r="M143"/>
  <c r="N143" s="1"/>
  <c r="O143" s="1"/>
  <c r="F143"/>
  <c r="G143" s="1"/>
  <c r="F136"/>
  <c r="G136" s="1"/>
  <c r="M136"/>
  <c r="Q136" s="1"/>
  <c r="F130"/>
  <c r="M130"/>
  <c r="Q130" s="1"/>
  <c r="F135"/>
  <c r="M135"/>
  <c r="Q135" s="1"/>
  <c r="F131"/>
  <c r="G131" s="1"/>
  <c r="M131"/>
  <c r="Q131" s="1"/>
  <c r="F129"/>
  <c r="M129"/>
  <c r="Q129" s="1"/>
  <c r="F134"/>
  <c r="M134"/>
  <c r="Q134" s="1"/>
  <c r="F42"/>
  <c r="G42" s="1"/>
  <c r="M42"/>
  <c r="Q42" s="1"/>
  <c r="F86"/>
  <c r="G86" s="1"/>
  <c r="M86"/>
  <c r="N86" s="1"/>
  <c r="O86" s="1"/>
  <c r="F98"/>
  <c r="G98" s="1"/>
  <c r="M98"/>
  <c r="N98" s="1"/>
  <c r="O98" s="1"/>
  <c r="F47"/>
  <c r="G47" s="1"/>
  <c r="M47"/>
  <c r="N47" s="1"/>
  <c r="O47" s="1"/>
  <c r="F65"/>
  <c r="G65" s="1"/>
  <c r="M65"/>
  <c r="N65" s="1"/>
  <c r="O65" s="1"/>
  <c r="F18"/>
  <c r="G18" s="1"/>
  <c r="M18"/>
  <c r="Q18" s="1"/>
  <c r="F13"/>
  <c r="G13" s="1"/>
  <c r="M13"/>
  <c r="Q13" s="1"/>
  <c r="F27"/>
  <c r="M27"/>
  <c r="F28"/>
  <c r="G28" s="1"/>
  <c r="M28"/>
  <c r="F29"/>
  <c r="G29" s="1"/>
  <c r="M29"/>
  <c r="F14"/>
  <c r="G14" s="1"/>
  <c r="M14"/>
  <c r="F21"/>
  <c r="G21" s="1"/>
  <c r="M21"/>
  <c r="Q106" l="1"/>
  <c r="Q144"/>
  <c r="T144" s="1"/>
  <c r="Q86"/>
  <c r="T86" s="1"/>
  <c r="Q143"/>
  <c r="S98"/>
  <c r="S104"/>
  <c r="Q95"/>
  <c r="T107"/>
  <c r="R152"/>
  <c r="Q156"/>
  <c r="T156" s="1"/>
  <c r="Q160"/>
  <c r="T91"/>
  <c r="T71"/>
  <c r="Q47"/>
  <c r="S47" s="1"/>
  <c r="S72"/>
  <c r="S68"/>
  <c r="T73"/>
  <c r="T42"/>
  <c r="S69"/>
  <c r="Q65"/>
  <c r="S65" s="1"/>
  <c r="T62"/>
  <c r="T29"/>
  <c r="Q14"/>
  <c r="T14" s="1"/>
  <c r="T28"/>
  <c r="N13"/>
  <c r="O13" s="1"/>
  <c r="P152"/>
  <c r="T152"/>
  <c r="P144"/>
  <c r="R144" s="1"/>
  <c r="P132"/>
  <c r="R132" s="1"/>
  <c r="J152"/>
  <c r="I152"/>
  <c r="G144"/>
  <c r="N152"/>
  <c r="O152" s="1"/>
  <c r="S152" s="1"/>
  <c r="T132"/>
  <c r="J132"/>
  <c r="I132"/>
  <c r="N132"/>
  <c r="O132" s="1"/>
  <c r="S132" s="1"/>
  <c r="P107"/>
  <c r="N91"/>
  <c r="O91" s="1"/>
  <c r="S91" s="1"/>
  <c r="P92"/>
  <c r="R92" s="1"/>
  <c r="P95"/>
  <c r="T92"/>
  <c r="S95"/>
  <c r="N92"/>
  <c r="O92" s="1"/>
  <c r="P106"/>
  <c r="R106" s="1"/>
  <c r="P104"/>
  <c r="P103"/>
  <c r="T93"/>
  <c r="T106"/>
  <c r="T105"/>
  <c r="P91"/>
  <c r="R91" s="1"/>
  <c r="T88"/>
  <c r="J107"/>
  <c r="I107"/>
  <c r="I95"/>
  <c r="J95"/>
  <c r="J91"/>
  <c r="I91"/>
  <c r="J88"/>
  <c r="I88"/>
  <c r="J103"/>
  <c r="I103"/>
  <c r="J93"/>
  <c r="I93"/>
  <c r="J92"/>
  <c r="I92"/>
  <c r="I106"/>
  <c r="J106"/>
  <c r="J105"/>
  <c r="I105"/>
  <c r="J104"/>
  <c r="I104"/>
  <c r="P93"/>
  <c r="R93" s="1"/>
  <c r="P105"/>
  <c r="R105" s="1"/>
  <c r="P88"/>
  <c r="R88" s="1"/>
  <c r="N93"/>
  <c r="O93" s="1"/>
  <c r="S93" s="1"/>
  <c r="N105"/>
  <c r="O105" s="1"/>
  <c r="N88"/>
  <c r="O88" s="1"/>
  <c r="S88" s="1"/>
  <c r="P72"/>
  <c r="P73"/>
  <c r="P69"/>
  <c r="P68"/>
  <c r="P56"/>
  <c r="R56" s="1"/>
  <c r="N40"/>
  <c r="O40" s="1"/>
  <c r="N56"/>
  <c r="O56" s="1"/>
  <c r="P63"/>
  <c r="R63" s="1"/>
  <c r="P40"/>
  <c r="R40" s="1"/>
  <c r="P71"/>
  <c r="T56"/>
  <c r="T64"/>
  <c r="N63"/>
  <c r="O63" s="1"/>
  <c r="P38"/>
  <c r="R38" s="1"/>
  <c r="P6"/>
  <c r="R6" s="1"/>
  <c r="T40"/>
  <c r="P62"/>
  <c r="T70"/>
  <c r="T63"/>
  <c r="T38"/>
  <c r="J40"/>
  <c r="I40"/>
  <c r="J62"/>
  <c r="I62"/>
  <c r="I71"/>
  <c r="J71"/>
  <c r="J69"/>
  <c r="I69"/>
  <c r="J64"/>
  <c r="I64"/>
  <c r="J63"/>
  <c r="I63"/>
  <c r="J38"/>
  <c r="I38"/>
  <c r="J70"/>
  <c r="I70"/>
  <c r="J68"/>
  <c r="I68"/>
  <c r="J72"/>
  <c r="I72"/>
  <c r="J73"/>
  <c r="I73"/>
  <c r="J56"/>
  <c r="I56"/>
  <c r="P70"/>
  <c r="R70" s="1"/>
  <c r="P64"/>
  <c r="R64" s="1"/>
  <c r="N70"/>
  <c r="O70" s="1"/>
  <c r="N64"/>
  <c r="O64" s="1"/>
  <c r="N38"/>
  <c r="O38" s="1"/>
  <c r="P30"/>
  <c r="R30" s="1"/>
  <c r="P16"/>
  <c r="R16" s="1"/>
  <c r="P8"/>
  <c r="R8" s="1"/>
  <c r="T11"/>
  <c r="T7"/>
  <c r="P11"/>
  <c r="R11" s="1"/>
  <c r="T6"/>
  <c r="J9"/>
  <c r="I9"/>
  <c r="J7"/>
  <c r="I7"/>
  <c r="J24"/>
  <c r="I24"/>
  <c r="J5"/>
  <c r="I5"/>
  <c r="J10"/>
  <c r="I10"/>
  <c r="J26"/>
  <c r="I26"/>
  <c r="J23"/>
  <c r="I23"/>
  <c r="P24"/>
  <c r="R24" s="1"/>
  <c r="P10"/>
  <c r="R10" s="1"/>
  <c r="P7"/>
  <c r="R7" s="1"/>
  <c r="G30"/>
  <c r="T23"/>
  <c r="G16"/>
  <c r="T5"/>
  <c r="T9"/>
  <c r="G6"/>
  <c r="T8"/>
  <c r="P26"/>
  <c r="R26" s="1"/>
  <c r="P23"/>
  <c r="R23" s="1"/>
  <c r="P5"/>
  <c r="R5" s="1"/>
  <c r="P9"/>
  <c r="R9" s="1"/>
  <c r="T26"/>
  <c r="T24"/>
  <c r="G11"/>
  <c r="T10"/>
  <c r="G8"/>
  <c r="N26"/>
  <c r="O26" s="1"/>
  <c r="N30"/>
  <c r="O30" s="1"/>
  <c r="N23"/>
  <c r="O23" s="1"/>
  <c r="N24"/>
  <c r="O24" s="1"/>
  <c r="N16"/>
  <c r="O16" s="1"/>
  <c r="N11"/>
  <c r="O11" s="1"/>
  <c r="S11" s="1"/>
  <c r="N5"/>
  <c r="O5" s="1"/>
  <c r="N10"/>
  <c r="O10" s="1"/>
  <c r="N9"/>
  <c r="O9" s="1"/>
  <c r="N6"/>
  <c r="O6" s="1"/>
  <c r="N8"/>
  <c r="O8" s="1"/>
  <c r="N7"/>
  <c r="O7" s="1"/>
  <c r="S7" s="1"/>
  <c r="T30"/>
  <c r="T16"/>
  <c r="J156"/>
  <c r="I156"/>
  <c r="P149"/>
  <c r="R149" s="1"/>
  <c r="P154"/>
  <c r="R154" s="1"/>
  <c r="N149"/>
  <c r="O149" s="1"/>
  <c r="I160"/>
  <c r="J160"/>
  <c r="J143"/>
  <c r="I143"/>
  <c r="J154"/>
  <c r="I154"/>
  <c r="T154"/>
  <c r="T149"/>
  <c r="P156"/>
  <c r="R156" s="1"/>
  <c r="J149"/>
  <c r="K149" s="1"/>
  <c r="P143"/>
  <c r="R143" s="1"/>
  <c r="T143"/>
  <c r="N154"/>
  <c r="O154" s="1"/>
  <c r="P160"/>
  <c r="S160"/>
  <c r="T129"/>
  <c r="T135"/>
  <c r="T134"/>
  <c r="T131"/>
  <c r="T130"/>
  <c r="T136"/>
  <c r="P135"/>
  <c r="R135" s="1"/>
  <c r="P129"/>
  <c r="R129" s="1"/>
  <c r="P134"/>
  <c r="R134" s="1"/>
  <c r="P130"/>
  <c r="R130" s="1"/>
  <c r="J131"/>
  <c r="I131"/>
  <c r="J136"/>
  <c r="I136"/>
  <c r="G134"/>
  <c r="G129"/>
  <c r="P131"/>
  <c r="R131" s="1"/>
  <c r="G135"/>
  <c r="G130"/>
  <c r="P136"/>
  <c r="R136" s="1"/>
  <c r="N134"/>
  <c r="O134" s="1"/>
  <c r="S134" s="1"/>
  <c r="N129"/>
  <c r="O129" s="1"/>
  <c r="S129" s="1"/>
  <c r="N131"/>
  <c r="O131" s="1"/>
  <c r="S131" s="1"/>
  <c r="N135"/>
  <c r="O135" s="1"/>
  <c r="S135" s="1"/>
  <c r="N130"/>
  <c r="O130" s="1"/>
  <c r="S130" s="1"/>
  <c r="N136"/>
  <c r="O136" s="1"/>
  <c r="S136" s="1"/>
  <c r="J42"/>
  <c r="I42"/>
  <c r="P42"/>
  <c r="R42" s="1"/>
  <c r="N42"/>
  <c r="O42" s="1"/>
  <c r="P98"/>
  <c r="P86"/>
  <c r="R86" s="1"/>
  <c r="I86"/>
  <c r="J86"/>
  <c r="J98"/>
  <c r="I98"/>
  <c r="I65"/>
  <c r="J65"/>
  <c r="I47"/>
  <c r="J47"/>
  <c r="P65"/>
  <c r="P47"/>
  <c r="T13"/>
  <c r="P27"/>
  <c r="R27" s="1"/>
  <c r="N14"/>
  <c r="O14" s="1"/>
  <c r="N29"/>
  <c r="O29" s="1"/>
  <c r="S29" s="1"/>
  <c r="J14"/>
  <c r="I14"/>
  <c r="J29"/>
  <c r="I29"/>
  <c r="I13"/>
  <c r="J13"/>
  <c r="J21"/>
  <c r="I21"/>
  <c r="J28"/>
  <c r="I28"/>
  <c r="J18"/>
  <c r="I18"/>
  <c r="T21"/>
  <c r="P21"/>
  <c r="R21" s="1"/>
  <c r="G27"/>
  <c r="T18"/>
  <c r="P18"/>
  <c r="R18" s="1"/>
  <c r="N21"/>
  <c r="O21" s="1"/>
  <c r="N28"/>
  <c r="O28" s="1"/>
  <c r="N27"/>
  <c r="O27" s="1"/>
  <c r="N18"/>
  <c r="O18" s="1"/>
  <c r="P28"/>
  <c r="R28" s="1"/>
  <c r="T27"/>
  <c r="P14"/>
  <c r="P29"/>
  <c r="R29" s="1"/>
  <c r="P13"/>
  <c r="R13" s="1"/>
  <c r="R103" l="1"/>
  <c r="R95"/>
  <c r="S103"/>
  <c r="AW103" s="1"/>
  <c r="R107"/>
  <c r="R104"/>
  <c r="R98"/>
  <c r="R160"/>
  <c r="R68"/>
  <c r="R47"/>
  <c r="R71"/>
  <c r="R72"/>
  <c r="R62"/>
  <c r="R65"/>
  <c r="R69"/>
  <c r="R73"/>
  <c r="R14"/>
  <c r="T104"/>
  <c r="S6"/>
  <c r="S23"/>
  <c r="AA23" s="1"/>
  <c r="S105"/>
  <c r="AF105" s="1"/>
  <c r="T103"/>
  <c r="K104"/>
  <c r="K88"/>
  <c r="X152"/>
  <c r="AB152"/>
  <c r="AJ152"/>
  <c r="AN152"/>
  <c r="AV152"/>
  <c r="AZ152"/>
  <c r="W152"/>
  <c r="AA152"/>
  <c r="AE152"/>
  <c r="AI152"/>
  <c r="AM152"/>
  <c r="AU152"/>
  <c r="AY152"/>
  <c r="V152"/>
  <c r="Z152"/>
  <c r="AD152"/>
  <c r="AH152"/>
  <c r="AL152"/>
  <c r="AP152"/>
  <c r="AT152"/>
  <c r="AX152"/>
  <c r="U152"/>
  <c r="Y152"/>
  <c r="AC152"/>
  <c r="AK152"/>
  <c r="AO152"/>
  <c r="AS152"/>
  <c r="AW152"/>
  <c r="BA152"/>
  <c r="K152"/>
  <c r="S144"/>
  <c r="I144"/>
  <c r="J144"/>
  <c r="S92"/>
  <c r="V92" s="1"/>
  <c r="X132"/>
  <c r="AB132"/>
  <c r="AF132"/>
  <c r="AJ132"/>
  <c r="AN132"/>
  <c r="AR132"/>
  <c r="AV132"/>
  <c r="AZ132"/>
  <c r="W132"/>
  <c r="AA132"/>
  <c r="AE132"/>
  <c r="AI132"/>
  <c r="AM132"/>
  <c r="AQ132"/>
  <c r="AU132"/>
  <c r="AY132"/>
  <c r="V132"/>
  <c r="Z132"/>
  <c r="AD132"/>
  <c r="AH132"/>
  <c r="AL132"/>
  <c r="AP132"/>
  <c r="AT132"/>
  <c r="AX132"/>
  <c r="U132"/>
  <c r="Y132"/>
  <c r="AC132"/>
  <c r="AG132"/>
  <c r="AK132"/>
  <c r="AO132"/>
  <c r="AS132"/>
  <c r="AW132"/>
  <c r="BA132"/>
  <c r="K132"/>
  <c r="U91"/>
  <c r="X91"/>
  <c r="V91"/>
  <c r="AN91"/>
  <c r="AO91"/>
  <c r="AM91"/>
  <c r="AL91"/>
  <c r="Y91"/>
  <c r="W91"/>
  <c r="T95"/>
  <c r="AF103"/>
  <c r="AL103"/>
  <c r="AD103"/>
  <c r="AA103"/>
  <c r="Y103"/>
  <c r="W103"/>
  <c r="AI103"/>
  <c r="AP91"/>
  <c r="Z91"/>
  <c r="AQ91"/>
  <c r="AA91"/>
  <c r="AR91"/>
  <c r="AB91"/>
  <c r="AS91"/>
  <c r="AC91"/>
  <c r="S107"/>
  <c r="AA107" s="1"/>
  <c r="AT91"/>
  <c r="AD91"/>
  <c r="AU91"/>
  <c r="AE91"/>
  <c r="AV91"/>
  <c r="AF91"/>
  <c r="AW91"/>
  <c r="AG91"/>
  <c r="K107"/>
  <c r="AX91"/>
  <c r="AH91"/>
  <c r="AY91"/>
  <c r="AI91"/>
  <c r="AZ91"/>
  <c r="AJ91"/>
  <c r="BA91"/>
  <c r="AK91"/>
  <c r="W95"/>
  <c r="AM95"/>
  <c r="V95"/>
  <c r="AL95"/>
  <c r="U95"/>
  <c r="AK95"/>
  <c r="BA95"/>
  <c r="AJ95"/>
  <c r="AZ95"/>
  <c r="AI95"/>
  <c r="AY95"/>
  <c r="AH95"/>
  <c r="AX95"/>
  <c r="AG95"/>
  <c r="AW95"/>
  <c r="AF95"/>
  <c r="AV95"/>
  <c r="AA95"/>
  <c r="AQ95"/>
  <c r="Z95"/>
  <c r="AP95"/>
  <c r="Y95"/>
  <c r="AO95"/>
  <c r="X95"/>
  <c r="AN95"/>
  <c r="AE95"/>
  <c r="AU95"/>
  <c r="AD95"/>
  <c r="AT95"/>
  <c r="AC95"/>
  <c r="AS95"/>
  <c r="AB95"/>
  <c r="AR95"/>
  <c r="K92"/>
  <c r="AG104"/>
  <c r="AW104"/>
  <c r="AF104"/>
  <c r="AV104"/>
  <c r="AE104"/>
  <c r="AU104"/>
  <c r="AD104"/>
  <c r="AT104"/>
  <c r="AK104"/>
  <c r="AJ104"/>
  <c r="AI104"/>
  <c r="AH104"/>
  <c r="AC104"/>
  <c r="AS104"/>
  <c r="AB104"/>
  <c r="AR104"/>
  <c r="AA104"/>
  <c r="AQ104"/>
  <c r="Z104"/>
  <c r="AP104"/>
  <c r="U104"/>
  <c r="BA104"/>
  <c r="AZ104"/>
  <c r="AY104"/>
  <c r="AX104"/>
  <c r="Y104"/>
  <c r="AO104"/>
  <c r="X104"/>
  <c r="AN104"/>
  <c r="W104"/>
  <c r="AM104"/>
  <c r="V104"/>
  <c r="AL104"/>
  <c r="K105"/>
  <c r="K93"/>
  <c r="K103"/>
  <c r="S106"/>
  <c r="K95"/>
  <c r="K106"/>
  <c r="X88"/>
  <c r="AB88"/>
  <c r="AF88"/>
  <c r="AJ88"/>
  <c r="AN88"/>
  <c r="AV88"/>
  <c r="AZ88"/>
  <c r="W88"/>
  <c r="AA88"/>
  <c r="AE88"/>
  <c r="AI88"/>
  <c r="AM88"/>
  <c r="AU88"/>
  <c r="AY88"/>
  <c r="V88"/>
  <c r="Z88"/>
  <c r="AD88"/>
  <c r="AH88"/>
  <c r="AL88"/>
  <c r="AP88"/>
  <c r="AT88"/>
  <c r="AX88"/>
  <c r="U88"/>
  <c r="Y88"/>
  <c r="AC88"/>
  <c r="AG88"/>
  <c r="AK88"/>
  <c r="AO88"/>
  <c r="AS88"/>
  <c r="AW88"/>
  <c r="BA88"/>
  <c r="X93"/>
  <c r="AB93"/>
  <c r="AF93"/>
  <c r="AJ93"/>
  <c r="AN93"/>
  <c r="AR93"/>
  <c r="AV93"/>
  <c r="AZ93"/>
  <c r="W93"/>
  <c r="AA93"/>
  <c r="AE93"/>
  <c r="AI93"/>
  <c r="AM93"/>
  <c r="AQ93"/>
  <c r="AU93"/>
  <c r="AY93"/>
  <c r="V93"/>
  <c r="Z93"/>
  <c r="AD93"/>
  <c r="AH93"/>
  <c r="AL93"/>
  <c r="AP93"/>
  <c r="AT93"/>
  <c r="AX93"/>
  <c r="U93"/>
  <c r="Y93"/>
  <c r="AC93"/>
  <c r="AG93"/>
  <c r="AK93"/>
  <c r="AO93"/>
  <c r="AS93"/>
  <c r="AW93"/>
  <c r="BA93"/>
  <c r="K91"/>
  <c r="K72"/>
  <c r="K63"/>
  <c r="T68"/>
  <c r="S73"/>
  <c r="AI73" s="1"/>
  <c r="T69"/>
  <c r="S64"/>
  <c r="AB64" s="1"/>
  <c r="AD68"/>
  <c r="AG68"/>
  <c r="AE68"/>
  <c r="AW68"/>
  <c r="AU68"/>
  <c r="AX68"/>
  <c r="AV68"/>
  <c r="AH68"/>
  <c r="AF68"/>
  <c r="S62"/>
  <c r="T72"/>
  <c r="S70"/>
  <c r="AF70" s="1"/>
  <c r="V72"/>
  <c r="Y72"/>
  <c r="W72"/>
  <c r="AP72"/>
  <c r="AN72"/>
  <c r="Z72"/>
  <c r="X72"/>
  <c r="AO72"/>
  <c r="AM72"/>
  <c r="AY68"/>
  <c r="AI68"/>
  <c r="AZ68"/>
  <c r="AJ68"/>
  <c r="BA68"/>
  <c r="AK68"/>
  <c r="U68"/>
  <c r="AL68"/>
  <c r="V68"/>
  <c r="S71"/>
  <c r="AB71" s="1"/>
  <c r="AM68"/>
  <c r="W68"/>
  <c r="AN68"/>
  <c r="X68"/>
  <c r="AO68"/>
  <c r="Y68"/>
  <c r="AP68"/>
  <c r="Z68"/>
  <c r="AQ68"/>
  <c r="AA68"/>
  <c r="AR68"/>
  <c r="AB68"/>
  <c r="AS68"/>
  <c r="AC68"/>
  <c r="AT68"/>
  <c r="Z69"/>
  <c r="AP69"/>
  <c r="Y69"/>
  <c r="AO69"/>
  <c r="X69"/>
  <c r="AN69"/>
  <c r="W69"/>
  <c r="AM69"/>
  <c r="AR69"/>
  <c r="V69"/>
  <c r="AL69"/>
  <c r="U69"/>
  <c r="AK69"/>
  <c r="BA69"/>
  <c r="AJ69"/>
  <c r="AZ69"/>
  <c r="AI69"/>
  <c r="AY69"/>
  <c r="AD69"/>
  <c r="AT69"/>
  <c r="AC69"/>
  <c r="AS69"/>
  <c r="AB69"/>
  <c r="AA69"/>
  <c r="AQ69"/>
  <c r="AH69"/>
  <c r="AX69"/>
  <c r="AG69"/>
  <c r="AW69"/>
  <c r="AF69"/>
  <c r="AV69"/>
  <c r="AE69"/>
  <c r="AU69"/>
  <c r="S38"/>
  <c r="AJ38" s="1"/>
  <c r="K68"/>
  <c r="AQ72"/>
  <c r="AA72"/>
  <c r="AR72"/>
  <c r="AB72"/>
  <c r="AS72"/>
  <c r="AC72"/>
  <c r="AT72"/>
  <c r="AD72"/>
  <c r="K70"/>
  <c r="AU72"/>
  <c r="AE72"/>
  <c r="AV72"/>
  <c r="AF72"/>
  <c r="AW72"/>
  <c r="AG72"/>
  <c r="AX72"/>
  <c r="AH72"/>
  <c r="K40"/>
  <c r="S10"/>
  <c r="AJ10" s="1"/>
  <c r="AY72"/>
  <c r="AI72"/>
  <c r="AZ72"/>
  <c r="AJ72"/>
  <c r="BA72"/>
  <c r="AK72"/>
  <c r="U72"/>
  <c r="AL72"/>
  <c r="S56"/>
  <c r="AL56" s="1"/>
  <c r="K64"/>
  <c r="K69"/>
  <c r="S63"/>
  <c r="S40"/>
  <c r="K38"/>
  <c r="K62"/>
  <c r="K73"/>
  <c r="K56"/>
  <c r="K71"/>
  <c r="S24"/>
  <c r="S8"/>
  <c r="S5"/>
  <c r="S16"/>
  <c r="K24"/>
  <c r="S26"/>
  <c r="U26" s="1"/>
  <c r="K5"/>
  <c r="X7"/>
  <c r="AB7"/>
  <c r="AF7"/>
  <c r="AJ7"/>
  <c r="AN7"/>
  <c r="AV7"/>
  <c r="AZ7"/>
  <c r="W7"/>
  <c r="AA7"/>
  <c r="AE7"/>
  <c r="AI7"/>
  <c r="AM7"/>
  <c r="AU7"/>
  <c r="AY7"/>
  <c r="Z7"/>
  <c r="AH7"/>
  <c r="AP7"/>
  <c r="AX7"/>
  <c r="Y7"/>
  <c r="AG7"/>
  <c r="AO7"/>
  <c r="AW7"/>
  <c r="V7"/>
  <c r="AD7"/>
  <c r="AL7"/>
  <c r="U7"/>
  <c r="AC7"/>
  <c r="AK7"/>
  <c r="AS7"/>
  <c r="BA7"/>
  <c r="AT7"/>
  <c r="V11"/>
  <c r="Z11"/>
  <c r="AD11"/>
  <c r="AH11"/>
  <c r="AL11"/>
  <c r="AP11"/>
  <c r="AT11"/>
  <c r="AX11"/>
  <c r="U11"/>
  <c r="Y11"/>
  <c r="AC11"/>
  <c r="AG11"/>
  <c r="AK11"/>
  <c r="AO11"/>
  <c r="AS11"/>
  <c r="AW11"/>
  <c r="BA11"/>
  <c r="AB11"/>
  <c r="AJ11"/>
  <c r="AR11"/>
  <c r="AF11"/>
  <c r="AA11"/>
  <c r="AI11"/>
  <c r="AQ11"/>
  <c r="AY11"/>
  <c r="AN11"/>
  <c r="W11"/>
  <c r="AE11"/>
  <c r="AM11"/>
  <c r="AU11"/>
  <c r="X11"/>
  <c r="AV11"/>
  <c r="K23"/>
  <c r="K10"/>
  <c r="S9"/>
  <c r="K26"/>
  <c r="K7"/>
  <c r="J11"/>
  <c r="I11"/>
  <c r="J6"/>
  <c r="I6"/>
  <c r="J16"/>
  <c r="I16"/>
  <c r="J30"/>
  <c r="I30"/>
  <c r="S30"/>
  <c r="J8"/>
  <c r="I8"/>
  <c r="K9"/>
  <c r="V135"/>
  <c r="Z135"/>
  <c r="AD135"/>
  <c r="AH135"/>
  <c r="AL135"/>
  <c r="AP135"/>
  <c r="AT135"/>
  <c r="AX135"/>
  <c r="U135"/>
  <c r="Y135"/>
  <c r="AC135"/>
  <c r="AG135"/>
  <c r="AK135"/>
  <c r="AO135"/>
  <c r="AS135"/>
  <c r="AW135"/>
  <c r="BA135"/>
  <c r="AA135"/>
  <c r="AI135"/>
  <c r="AQ135"/>
  <c r="AY135"/>
  <c r="X135"/>
  <c r="AF135"/>
  <c r="AN135"/>
  <c r="AV135"/>
  <c r="W135"/>
  <c r="AE135"/>
  <c r="AM135"/>
  <c r="AU135"/>
  <c r="AJ135"/>
  <c r="AR135"/>
  <c r="AB135"/>
  <c r="AZ135"/>
  <c r="X136"/>
  <c r="AB136"/>
  <c r="AF136"/>
  <c r="AJ136"/>
  <c r="AN136"/>
  <c r="AR136"/>
  <c r="AV136"/>
  <c r="AZ136"/>
  <c r="W136"/>
  <c r="AA136"/>
  <c r="AE136"/>
  <c r="AI136"/>
  <c r="AM136"/>
  <c r="AQ136"/>
  <c r="AU136"/>
  <c r="AY136"/>
  <c r="V136"/>
  <c r="Z136"/>
  <c r="AD136"/>
  <c r="AH136"/>
  <c r="AL136"/>
  <c r="AP136"/>
  <c r="AT136"/>
  <c r="AX136"/>
  <c r="AG136"/>
  <c r="AW136"/>
  <c r="U136"/>
  <c r="AK136"/>
  <c r="BA136"/>
  <c r="AC136"/>
  <c r="AS136"/>
  <c r="Y136"/>
  <c r="AO136"/>
  <c r="W131"/>
  <c r="AA131"/>
  <c r="AE131"/>
  <c r="AI131"/>
  <c r="AM131"/>
  <c r="AQ131"/>
  <c r="AU131"/>
  <c r="AY131"/>
  <c r="V131"/>
  <c r="Z131"/>
  <c r="AD131"/>
  <c r="AH131"/>
  <c r="AL131"/>
  <c r="AP131"/>
  <c r="AT131"/>
  <c r="AX131"/>
  <c r="U131"/>
  <c r="Y131"/>
  <c r="AC131"/>
  <c r="AG131"/>
  <c r="AK131"/>
  <c r="AO131"/>
  <c r="AS131"/>
  <c r="AW131"/>
  <c r="BA131"/>
  <c r="AF131"/>
  <c r="AV131"/>
  <c r="AJ131"/>
  <c r="AZ131"/>
  <c r="AB131"/>
  <c r="AR131"/>
  <c r="X131"/>
  <c r="AN131"/>
  <c r="W160"/>
  <c r="AA160"/>
  <c r="AE160"/>
  <c r="AI160"/>
  <c r="AM160"/>
  <c r="AQ160"/>
  <c r="AU160"/>
  <c r="AY160"/>
  <c r="V160"/>
  <c r="Z160"/>
  <c r="AD160"/>
  <c r="AH160"/>
  <c r="AL160"/>
  <c r="AP160"/>
  <c r="AT160"/>
  <c r="AX160"/>
  <c r="X160"/>
  <c r="AB160"/>
  <c r="AF160"/>
  <c r="AJ160"/>
  <c r="AN160"/>
  <c r="AR160"/>
  <c r="AV160"/>
  <c r="AZ160"/>
  <c r="AG160"/>
  <c r="AW160"/>
  <c r="AC160"/>
  <c r="AS160"/>
  <c r="Y160"/>
  <c r="AO160"/>
  <c r="U160"/>
  <c r="BA160"/>
  <c r="AK160"/>
  <c r="U47"/>
  <c r="Y47"/>
  <c r="AC47"/>
  <c r="AG47"/>
  <c r="AK47"/>
  <c r="AO47"/>
  <c r="AS47"/>
  <c r="AW47"/>
  <c r="BA47"/>
  <c r="Z47"/>
  <c r="AT47"/>
  <c r="X47"/>
  <c r="AB47"/>
  <c r="AF47"/>
  <c r="AJ47"/>
  <c r="AN47"/>
  <c r="AR47"/>
  <c r="AV47"/>
  <c r="AZ47"/>
  <c r="AD47"/>
  <c r="AL47"/>
  <c r="W47"/>
  <c r="AA47"/>
  <c r="AE47"/>
  <c r="AI47"/>
  <c r="AM47"/>
  <c r="AQ47"/>
  <c r="AU47"/>
  <c r="AY47"/>
  <c r="V47"/>
  <c r="AH47"/>
  <c r="AP47"/>
  <c r="AX47"/>
  <c r="U130"/>
  <c r="Y130"/>
  <c r="AC130"/>
  <c r="AG130"/>
  <c r="AK130"/>
  <c r="AO130"/>
  <c r="AS130"/>
  <c r="AW130"/>
  <c r="BA130"/>
  <c r="X130"/>
  <c r="AB130"/>
  <c r="AF130"/>
  <c r="AJ130"/>
  <c r="AN130"/>
  <c r="AR130"/>
  <c r="AV130"/>
  <c r="AZ130"/>
  <c r="V130"/>
  <c r="AD130"/>
  <c r="AL130"/>
  <c r="AT130"/>
  <c r="AA130"/>
  <c r="AI130"/>
  <c r="AQ130"/>
  <c r="AY130"/>
  <c r="Z130"/>
  <c r="AH130"/>
  <c r="AP130"/>
  <c r="AX130"/>
  <c r="AM130"/>
  <c r="AU130"/>
  <c r="AE130"/>
  <c r="W130"/>
  <c r="X134"/>
  <c r="AB134"/>
  <c r="AF134"/>
  <c r="AJ134"/>
  <c r="AN134"/>
  <c r="AR134"/>
  <c r="AV134"/>
  <c r="AZ134"/>
  <c r="W134"/>
  <c r="AA134"/>
  <c r="AE134"/>
  <c r="AI134"/>
  <c r="AM134"/>
  <c r="AQ134"/>
  <c r="AU134"/>
  <c r="AY134"/>
  <c r="Y134"/>
  <c r="AG134"/>
  <c r="AO134"/>
  <c r="AW134"/>
  <c r="V134"/>
  <c r="AD134"/>
  <c r="AL134"/>
  <c r="AT134"/>
  <c r="U134"/>
  <c r="AC134"/>
  <c r="AK134"/>
  <c r="AS134"/>
  <c r="BA134"/>
  <c r="AP134"/>
  <c r="AX134"/>
  <c r="AH134"/>
  <c r="Z134"/>
  <c r="U65"/>
  <c r="Y65"/>
  <c r="AC65"/>
  <c r="AG65"/>
  <c r="AK65"/>
  <c r="AO65"/>
  <c r="AS65"/>
  <c r="AW65"/>
  <c r="BA65"/>
  <c r="Z65"/>
  <c r="AE65"/>
  <c r="AJ65"/>
  <c r="AP65"/>
  <c r="AU65"/>
  <c r="AZ65"/>
  <c r="AA65"/>
  <c r="AQ65"/>
  <c r="X65"/>
  <c r="AD65"/>
  <c r="AI65"/>
  <c r="AN65"/>
  <c r="AT65"/>
  <c r="AY65"/>
  <c r="V65"/>
  <c r="AL65"/>
  <c r="W65"/>
  <c r="AB65"/>
  <c r="AH65"/>
  <c r="AM65"/>
  <c r="AR65"/>
  <c r="AX65"/>
  <c r="AF65"/>
  <c r="AV65"/>
  <c r="X98"/>
  <c r="AB98"/>
  <c r="AF98"/>
  <c r="AJ98"/>
  <c r="AN98"/>
  <c r="AR98"/>
  <c r="AV98"/>
  <c r="AZ98"/>
  <c r="W98"/>
  <c r="AA98"/>
  <c r="AE98"/>
  <c r="AI98"/>
  <c r="AM98"/>
  <c r="AQ98"/>
  <c r="AU98"/>
  <c r="AY98"/>
  <c r="V98"/>
  <c r="Z98"/>
  <c r="AD98"/>
  <c r="AH98"/>
  <c r="AL98"/>
  <c r="AP98"/>
  <c r="AT98"/>
  <c r="AX98"/>
  <c r="AC98"/>
  <c r="AS98"/>
  <c r="AG98"/>
  <c r="AW98"/>
  <c r="Y98"/>
  <c r="AO98"/>
  <c r="U98"/>
  <c r="AK98"/>
  <c r="BA98"/>
  <c r="W129"/>
  <c r="AA129"/>
  <c r="AE129"/>
  <c r="AI129"/>
  <c r="AM129"/>
  <c r="AQ129"/>
  <c r="AU129"/>
  <c r="AY129"/>
  <c r="V129"/>
  <c r="Z129"/>
  <c r="AD129"/>
  <c r="AH129"/>
  <c r="AL129"/>
  <c r="AP129"/>
  <c r="AT129"/>
  <c r="AX129"/>
  <c r="AB129"/>
  <c r="AJ129"/>
  <c r="AR129"/>
  <c r="AZ129"/>
  <c r="Y129"/>
  <c r="AG129"/>
  <c r="AO129"/>
  <c r="AW129"/>
  <c r="X129"/>
  <c r="AF129"/>
  <c r="AN129"/>
  <c r="AV129"/>
  <c r="AK129"/>
  <c r="AS129"/>
  <c r="AC129"/>
  <c r="U129"/>
  <c r="BA129"/>
  <c r="AX29"/>
  <c r="AJ29"/>
  <c r="AN29"/>
  <c r="AR29"/>
  <c r="W29"/>
  <c r="AA29"/>
  <c r="AE29"/>
  <c r="AW29"/>
  <c r="BA29"/>
  <c r="AI29"/>
  <c r="AM29"/>
  <c r="AQ29"/>
  <c r="V29"/>
  <c r="Z29"/>
  <c r="AD29"/>
  <c r="AU29"/>
  <c r="AV29"/>
  <c r="AH29"/>
  <c r="AL29"/>
  <c r="AP29"/>
  <c r="AT29"/>
  <c r="U29"/>
  <c r="Y29"/>
  <c r="AC29"/>
  <c r="AG29"/>
  <c r="AY29"/>
  <c r="AS29"/>
  <c r="AO29"/>
  <c r="AF29"/>
  <c r="X29"/>
  <c r="AK29"/>
  <c r="AB29"/>
  <c r="S156"/>
  <c r="K156"/>
  <c r="S149"/>
  <c r="K154"/>
  <c r="T160"/>
  <c r="S143"/>
  <c r="S154"/>
  <c r="K143"/>
  <c r="K160"/>
  <c r="S86"/>
  <c r="K131"/>
  <c r="T98"/>
  <c r="J130"/>
  <c r="I130"/>
  <c r="J129"/>
  <c r="I129"/>
  <c r="J135"/>
  <c r="I135"/>
  <c r="J134"/>
  <c r="I134"/>
  <c r="K136"/>
  <c r="S42"/>
  <c r="K42"/>
  <c r="K86"/>
  <c r="K98"/>
  <c r="S13"/>
  <c r="T65"/>
  <c r="T47"/>
  <c r="K47"/>
  <c r="K65"/>
  <c r="S14"/>
  <c r="K18"/>
  <c r="K29"/>
  <c r="K14"/>
  <c r="K28"/>
  <c r="K21"/>
  <c r="S18"/>
  <c r="S27"/>
  <c r="BA27" s="1"/>
  <c r="S28"/>
  <c r="BA28" s="1"/>
  <c r="J27"/>
  <c r="I27"/>
  <c r="S21"/>
  <c r="BA21" s="1"/>
  <c r="K13"/>
  <c r="AM103" l="1"/>
  <c r="AO103"/>
  <c r="AQ103"/>
  <c r="AC103"/>
  <c r="AK103"/>
  <c r="AV103"/>
  <c r="AH103"/>
  <c r="AJ103"/>
  <c r="AN103"/>
  <c r="AP103"/>
  <c r="AB103"/>
  <c r="AY103"/>
  <c r="V103"/>
  <c r="AG103"/>
  <c r="U103"/>
  <c r="X103"/>
  <c r="Z103"/>
  <c r="AS103"/>
  <c r="AZ103"/>
  <c r="AE103"/>
  <c r="AX103"/>
  <c r="AR103"/>
  <c r="AT103"/>
  <c r="BA103"/>
  <c r="AU103"/>
  <c r="X105"/>
  <c r="AN105"/>
  <c r="AN13"/>
  <c r="AL13"/>
  <c r="X6"/>
  <c r="AY6"/>
  <c r="V5"/>
  <c r="AS5"/>
  <c r="AR5"/>
  <c r="AG8"/>
  <c r="AF16"/>
  <c r="BA16"/>
  <c r="X24"/>
  <c r="BA24"/>
  <c r="V105"/>
  <c r="BA105"/>
  <c r="AL105"/>
  <c r="AB23"/>
  <c r="AB73"/>
  <c r="AZ107"/>
  <c r="AF92"/>
  <c r="AC6"/>
  <c r="AJ23"/>
  <c r="AY23"/>
  <c r="AK105"/>
  <c r="AM105"/>
  <c r="AU23"/>
  <c r="U105"/>
  <c r="W105"/>
  <c r="Y23"/>
  <c r="AO23"/>
  <c r="AR6"/>
  <c r="AD64"/>
  <c r="AW105"/>
  <c r="AG105"/>
  <c r="AX105"/>
  <c r="AH105"/>
  <c r="AY105"/>
  <c r="AI105"/>
  <c r="AZ105"/>
  <c r="AJ105"/>
  <c r="AF64"/>
  <c r="AO105"/>
  <c r="Y105"/>
  <c r="AP105"/>
  <c r="Z105"/>
  <c r="AQ105"/>
  <c r="AA105"/>
  <c r="AR105"/>
  <c r="AB105"/>
  <c r="AV64"/>
  <c r="AI56"/>
  <c r="AS105"/>
  <c r="AC105"/>
  <c r="AT105"/>
  <c r="AD105"/>
  <c r="AU105"/>
  <c r="AE105"/>
  <c r="AV105"/>
  <c r="AA6"/>
  <c r="AF23"/>
  <c r="AL23"/>
  <c r="AE23"/>
  <c r="AD6"/>
  <c r="AB6"/>
  <c r="Z6"/>
  <c r="BA23"/>
  <c r="X23"/>
  <c r="AH23"/>
  <c r="W23"/>
  <c r="AC10"/>
  <c r="Y6"/>
  <c r="AQ6"/>
  <c r="AG6"/>
  <c r="AK6"/>
  <c r="AU6"/>
  <c r="AV6"/>
  <c r="AZ23"/>
  <c r="AN23"/>
  <c r="AW23"/>
  <c r="AT23"/>
  <c r="V23"/>
  <c r="AI23"/>
  <c r="AP6"/>
  <c r="AS6"/>
  <c r="AT6"/>
  <c r="AI6"/>
  <c r="AZ6"/>
  <c r="AJ6"/>
  <c r="AH6"/>
  <c r="AL6"/>
  <c r="AF6"/>
  <c r="U23"/>
  <c r="AK23"/>
  <c r="AC23"/>
  <c r="AX23"/>
  <c r="AD23"/>
  <c r="AM23"/>
  <c r="AW6"/>
  <c r="BA6"/>
  <c r="U6"/>
  <c r="V6"/>
  <c r="W6"/>
  <c r="AR23"/>
  <c r="AV23"/>
  <c r="AS23"/>
  <c r="AG23"/>
  <c r="AP23"/>
  <c r="Z23"/>
  <c r="AQ23"/>
  <c r="AT64"/>
  <c r="AL71"/>
  <c r="AR71"/>
  <c r="AI71"/>
  <c r="AD71"/>
  <c r="AK10"/>
  <c r="AQ10"/>
  <c r="AO107"/>
  <c r="AH92"/>
  <c r="AQ92"/>
  <c r="V16"/>
  <c r="AD10"/>
  <c r="AC64"/>
  <c r="AE64"/>
  <c r="AJ92"/>
  <c r="AP92"/>
  <c r="AS92"/>
  <c r="AU107"/>
  <c r="Y10"/>
  <c r="AR10"/>
  <c r="BA8"/>
  <c r="AS64"/>
  <c r="AU64"/>
  <c r="X71"/>
  <c r="AN56"/>
  <c r="AL92"/>
  <c r="W92"/>
  <c r="BA92"/>
  <c r="AY92"/>
  <c r="AM92"/>
  <c r="AW92"/>
  <c r="AU92"/>
  <c r="U107"/>
  <c r="X92"/>
  <c r="AA92"/>
  <c r="U92"/>
  <c r="AZ92"/>
  <c r="AM107"/>
  <c r="AO92"/>
  <c r="AX92"/>
  <c r="AV92"/>
  <c r="Z92"/>
  <c r="AD92"/>
  <c r="AB92"/>
  <c r="AC107"/>
  <c r="AC92"/>
  <c r="AW107"/>
  <c r="AB107"/>
  <c r="AK92"/>
  <c r="AI92"/>
  <c r="AN92"/>
  <c r="AG92"/>
  <c r="AE92"/>
  <c r="Y92"/>
  <c r="AT92"/>
  <c r="AR92"/>
  <c r="AS71"/>
  <c r="Z71"/>
  <c r="AJ71"/>
  <c r="AP71"/>
  <c r="V71"/>
  <c r="AN71"/>
  <c r="BA71"/>
  <c r="AF71"/>
  <c r="AC71"/>
  <c r="AE26"/>
  <c r="Y24"/>
  <c r="K144"/>
  <c r="W144"/>
  <c r="AA144"/>
  <c r="AE144"/>
  <c r="AI144"/>
  <c r="AM144"/>
  <c r="AQ144"/>
  <c r="AU144"/>
  <c r="AY144"/>
  <c r="V144"/>
  <c r="Z144"/>
  <c r="AD144"/>
  <c r="AH144"/>
  <c r="AL144"/>
  <c r="AP144"/>
  <c r="AT144"/>
  <c r="AX144"/>
  <c r="U144"/>
  <c r="AC144"/>
  <c r="AK144"/>
  <c r="AS144"/>
  <c r="BA144"/>
  <c r="Y144"/>
  <c r="AG144"/>
  <c r="AO144"/>
  <c r="AW144"/>
  <c r="X144"/>
  <c r="AB144"/>
  <c r="AF144"/>
  <c r="AJ144"/>
  <c r="AN144"/>
  <c r="AR144"/>
  <c r="AV144"/>
  <c r="AZ144"/>
  <c r="AW64"/>
  <c r="AG64"/>
  <c r="AX64"/>
  <c r="AH64"/>
  <c r="AY64"/>
  <c r="AI64"/>
  <c r="AZ64"/>
  <c r="AJ64"/>
  <c r="Y107"/>
  <c r="W107"/>
  <c r="AL107"/>
  <c r="AJ107"/>
  <c r="AG107"/>
  <c r="AE107"/>
  <c r="AD107"/>
  <c r="AQ107"/>
  <c r="BA64"/>
  <c r="AK64"/>
  <c r="U64"/>
  <c r="AL64"/>
  <c r="V64"/>
  <c r="AM64"/>
  <c r="W64"/>
  <c r="AN64"/>
  <c r="X64"/>
  <c r="AP107"/>
  <c r="AN107"/>
  <c r="V107"/>
  <c r="BA107"/>
  <c r="AY107"/>
  <c r="AX107"/>
  <c r="AV107"/>
  <c r="AS107"/>
  <c r="AO64"/>
  <c r="Y64"/>
  <c r="AP64"/>
  <c r="Z64"/>
  <c r="AQ64"/>
  <c r="AA64"/>
  <c r="AR64"/>
  <c r="X107"/>
  <c r="AK107"/>
  <c r="AI107"/>
  <c r="AH107"/>
  <c r="AF107"/>
  <c r="AK16"/>
  <c r="AT26"/>
  <c r="AZ8"/>
  <c r="AP16"/>
  <c r="X16"/>
  <c r="AC26"/>
  <c r="AT8"/>
  <c r="W16"/>
  <c r="AB26"/>
  <c r="U8"/>
  <c r="Z107"/>
  <c r="AT107"/>
  <c r="AR107"/>
  <c r="AR24"/>
  <c r="X38"/>
  <c r="AL10"/>
  <c r="Z10"/>
  <c r="W10"/>
  <c r="X10"/>
  <c r="AQ71"/>
  <c r="AO71"/>
  <c r="AM71"/>
  <c r="AK71"/>
  <c r="AK56"/>
  <c r="AT71"/>
  <c r="AG71"/>
  <c r="AE71"/>
  <c r="V10"/>
  <c r="AH10"/>
  <c r="AA10"/>
  <c r="AB10"/>
  <c r="Y71"/>
  <c r="W71"/>
  <c r="U71"/>
  <c r="AZ71"/>
  <c r="AU71"/>
  <c r="AH71"/>
  <c r="W106"/>
  <c r="AM106"/>
  <c r="V106"/>
  <c r="AL106"/>
  <c r="U106"/>
  <c r="AK106"/>
  <c r="BA106"/>
  <c r="AJ106"/>
  <c r="AZ106"/>
  <c r="AI106"/>
  <c r="AY106"/>
  <c r="AH106"/>
  <c r="AX106"/>
  <c r="AG106"/>
  <c r="AW106"/>
  <c r="AF106"/>
  <c r="AV106"/>
  <c r="AE106"/>
  <c r="AU106"/>
  <c r="AD106"/>
  <c r="AT106"/>
  <c r="AC106"/>
  <c r="AS106"/>
  <c r="AB106"/>
  <c r="AR106"/>
  <c r="AA106"/>
  <c r="AQ106"/>
  <c r="Z106"/>
  <c r="AP106"/>
  <c r="Y106"/>
  <c r="AO106"/>
  <c r="X106"/>
  <c r="AN106"/>
  <c r="AZ70"/>
  <c r="V38"/>
  <c r="AX70"/>
  <c r="BA38"/>
  <c r="AG70"/>
  <c r="AI70"/>
  <c r="AL38"/>
  <c r="AN38"/>
  <c r="AM73"/>
  <c r="AW70"/>
  <c r="AY70"/>
  <c r="U38"/>
  <c r="W38"/>
  <c r="AO73"/>
  <c r="AZ73"/>
  <c r="AH70"/>
  <c r="AJ70"/>
  <c r="AK38"/>
  <c r="AM38"/>
  <c r="U73"/>
  <c r="AH16"/>
  <c r="AT16"/>
  <c r="AI16"/>
  <c r="AJ16"/>
  <c r="AH26"/>
  <c r="AA26"/>
  <c r="AN26"/>
  <c r="AO26"/>
  <c r="AA8"/>
  <c r="W8"/>
  <c r="X8"/>
  <c r="Y8"/>
  <c r="AS73"/>
  <c r="AQ73"/>
  <c r="Y73"/>
  <c r="W73"/>
  <c r="AL73"/>
  <c r="AJ73"/>
  <c r="Y16"/>
  <c r="Z16"/>
  <c r="AM16"/>
  <c r="AN16"/>
  <c r="AP26"/>
  <c r="AY26"/>
  <c r="AR26"/>
  <c r="AS26"/>
  <c r="AY8"/>
  <c r="AU8"/>
  <c r="AJ8"/>
  <c r="AK8"/>
  <c r="AC73"/>
  <c r="AA73"/>
  <c r="AP73"/>
  <c r="AN73"/>
  <c r="V73"/>
  <c r="BA73"/>
  <c r="AY73"/>
  <c r="AW16"/>
  <c r="AC16"/>
  <c r="AY16"/>
  <c r="AZ16"/>
  <c r="AL26"/>
  <c r="W26"/>
  <c r="X26"/>
  <c r="Y26"/>
  <c r="Z8"/>
  <c r="V8"/>
  <c r="AN8"/>
  <c r="AO8"/>
  <c r="AT73"/>
  <c r="AR73"/>
  <c r="Z73"/>
  <c r="X73"/>
  <c r="AK73"/>
  <c r="AD73"/>
  <c r="AW73"/>
  <c r="AU73"/>
  <c r="AF73"/>
  <c r="AG73"/>
  <c r="AE73"/>
  <c r="AH73"/>
  <c r="AX73"/>
  <c r="AV73"/>
  <c r="AO38"/>
  <c r="Y38"/>
  <c r="AP38"/>
  <c r="Z38"/>
  <c r="AQ38"/>
  <c r="AA38"/>
  <c r="AR38"/>
  <c r="AB38"/>
  <c r="AS38"/>
  <c r="AC38"/>
  <c r="AT38"/>
  <c r="AD38"/>
  <c r="AU38"/>
  <c r="AE38"/>
  <c r="AV38"/>
  <c r="AF38"/>
  <c r="AW38"/>
  <c r="AG38"/>
  <c r="AX38"/>
  <c r="AH38"/>
  <c r="AY38"/>
  <c r="AI38"/>
  <c r="AZ38"/>
  <c r="V24"/>
  <c r="AA24"/>
  <c r="BA70"/>
  <c r="AK70"/>
  <c r="U70"/>
  <c r="AL70"/>
  <c r="V70"/>
  <c r="AM70"/>
  <c r="W70"/>
  <c r="AN70"/>
  <c r="X70"/>
  <c r="AG62"/>
  <c r="AW62"/>
  <c r="AF62"/>
  <c r="AV62"/>
  <c r="AE62"/>
  <c r="AU62"/>
  <c r="AD62"/>
  <c r="AT62"/>
  <c r="AC62"/>
  <c r="AS62"/>
  <c r="AB62"/>
  <c r="AR62"/>
  <c r="AA62"/>
  <c r="AQ62"/>
  <c r="Z62"/>
  <c r="AP62"/>
  <c r="U62"/>
  <c r="AK62"/>
  <c r="BA62"/>
  <c r="AJ62"/>
  <c r="AZ62"/>
  <c r="AI62"/>
  <c r="AY62"/>
  <c r="AH62"/>
  <c r="AX62"/>
  <c r="Y62"/>
  <c r="AO62"/>
  <c r="X62"/>
  <c r="AN62"/>
  <c r="W62"/>
  <c r="AM62"/>
  <c r="V62"/>
  <c r="AL62"/>
  <c r="AK24"/>
  <c r="AQ24"/>
  <c r="AO70"/>
  <c r="Y70"/>
  <c r="AP70"/>
  <c r="Z70"/>
  <c r="AQ70"/>
  <c r="AA70"/>
  <c r="AR70"/>
  <c r="AB70"/>
  <c r="AH24"/>
  <c r="AB24"/>
  <c r="AS70"/>
  <c r="AC70"/>
  <c r="AT70"/>
  <c r="AD70"/>
  <c r="AU70"/>
  <c r="AE70"/>
  <c r="AV70"/>
  <c r="AA71"/>
  <c r="AX71"/>
  <c r="AY71"/>
  <c r="AV71"/>
  <c r="AW71"/>
  <c r="Y56"/>
  <c r="AW56"/>
  <c r="AV56"/>
  <c r="AU56"/>
  <c r="AT56"/>
  <c r="AB56"/>
  <c r="Z56"/>
  <c r="AS56"/>
  <c r="AP56"/>
  <c r="AC56"/>
  <c r="AA56"/>
  <c r="AG56"/>
  <c r="AD56"/>
  <c r="AG16"/>
  <c r="AS16"/>
  <c r="AX16"/>
  <c r="AD16"/>
  <c r="AQ16"/>
  <c r="AA16"/>
  <c r="AR16"/>
  <c r="AB16"/>
  <c r="AS10"/>
  <c r="AT10"/>
  <c r="AG10"/>
  <c r="AP10"/>
  <c r="AU10"/>
  <c r="AE10"/>
  <c r="AV10"/>
  <c r="AF10"/>
  <c r="AX26"/>
  <c r="AQ26"/>
  <c r="V26"/>
  <c r="AM26"/>
  <c r="AV26"/>
  <c r="AF26"/>
  <c r="AW26"/>
  <c r="AG26"/>
  <c r="AH8"/>
  <c r="AI8"/>
  <c r="AD8"/>
  <c r="AB8"/>
  <c r="AS8"/>
  <c r="AC8"/>
  <c r="U24"/>
  <c r="AO24"/>
  <c r="AX24"/>
  <c r="AY24"/>
  <c r="AI24"/>
  <c r="AZ24"/>
  <c r="AJ24"/>
  <c r="X56"/>
  <c r="V56"/>
  <c r="U56"/>
  <c r="AZ56"/>
  <c r="AX56"/>
  <c r="AS24"/>
  <c r="AT24"/>
  <c r="AG24"/>
  <c r="AP24"/>
  <c r="AU24"/>
  <c r="AE24"/>
  <c r="AV24"/>
  <c r="AF24"/>
  <c r="AO16"/>
  <c r="U16"/>
  <c r="AL16"/>
  <c r="AU16"/>
  <c r="AE16"/>
  <c r="AV16"/>
  <c r="BA10"/>
  <c r="U10"/>
  <c r="AO10"/>
  <c r="AI10"/>
  <c r="AZ10"/>
  <c r="AI26"/>
  <c r="Z26"/>
  <c r="AD26"/>
  <c r="AU26"/>
  <c r="AZ26"/>
  <c r="AJ26"/>
  <c r="BA26"/>
  <c r="AK26"/>
  <c r="AP8"/>
  <c r="AL8"/>
  <c r="AM8"/>
  <c r="AV8"/>
  <c r="AD24"/>
  <c r="AC24"/>
  <c r="AW24"/>
  <c r="AL24"/>
  <c r="Z24"/>
  <c r="AM24"/>
  <c r="W24"/>
  <c r="AN24"/>
  <c r="AO56"/>
  <c r="AM56"/>
  <c r="AJ56"/>
  <c r="AH56"/>
  <c r="W56"/>
  <c r="BA56"/>
  <c r="AY56"/>
  <c r="AC63"/>
  <c r="AS63"/>
  <c r="AB63"/>
  <c r="AR63"/>
  <c r="AA63"/>
  <c r="AQ63"/>
  <c r="Z63"/>
  <c r="AP63"/>
  <c r="Y63"/>
  <c r="AO63"/>
  <c r="X63"/>
  <c r="AN63"/>
  <c r="W63"/>
  <c r="AM63"/>
  <c r="V63"/>
  <c r="AL63"/>
  <c r="AG63"/>
  <c r="AW63"/>
  <c r="AF63"/>
  <c r="AV63"/>
  <c r="AE63"/>
  <c r="AU63"/>
  <c r="AD63"/>
  <c r="AT63"/>
  <c r="U63"/>
  <c r="AK63"/>
  <c r="BA63"/>
  <c r="AJ63"/>
  <c r="AZ63"/>
  <c r="AI63"/>
  <c r="AY63"/>
  <c r="AH63"/>
  <c r="AX63"/>
  <c r="AC40"/>
  <c r="AS40"/>
  <c r="AB40"/>
  <c r="AR40"/>
  <c r="AA40"/>
  <c r="AQ40"/>
  <c r="Z40"/>
  <c r="AP40"/>
  <c r="Y40"/>
  <c r="AO40"/>
  <c r="X40"/>
  <c r="AN40"/>
  <c r="W40"/>
  <c r="AM40"/>
  <c r="V40"/>
  <c r="AL40"/>
  <c r="U40"/>
  <c r="AK40"/>
  <c r="BA40"/>
  <c r="AJ40"/>
  <c r="AZ40"/>
  <c r="AI40"/>
  <c r="AY40"/>
  <c r="AH40"/>
  <c r="AX40"/>
  <c r="AG40"/>
  <c r="AW40"/>
  <c r="AF40"/>
  <c r="AV40"/>
  <c r="AE40"/>
  <c r="AU40"/>
  <c r="AD40"/>
  <c r="AT40"/>
  <c r="AJ5"/>
  <c r="AP5"/>
  <c r="AU5"/>
  <c r="Y5"/>
  <c r="AI5"/>
  <c r="AO5"/>
  <c r="X5"/>
  <c r="Z5"/>
  <c r="AQ5"/>
  <c r="AB5"/>
  <c r="W5"/>
  <c r="AC5"/>
  <c r="AT5"/>
  <c r="AD5"/>
  <c r="AY5"/>
  <c r="AZ5"/>
  <c r="AW5"/>
  <c r="AG5"/>
  <c r="AX5"/>
  <c r="AH5"/>
  <c r="AA5"/>
  <c r="AV5"/>
  <c r="BA5"/>
  <c r="AK5"/>
  <c r="U5"/>
  <c r="AL5"/>
  <c r="K8"/>
  <c r="K30"/>
  <c r="K11"/>
  <c r="V30"/>
  <c r="Z30"/>
  <c r="AD30"/>
  <c r="AH30"/>
  <c r="AL30"/>
  <c r="AP30"/>
  <c r="AT30"/>
  <c r="AX30"/>
  <c r="U30"/>
  <c r="Y30"/>
  <c r="AC30"/>
  <c r="AG30"/>
  <c r="AK30"/>
  <c r="AO30"/>
  <c r="AS30"/>
  <c r="AW30"/>
  <c r="BA30"/>
  <c r="X30"/>
  <c r="AF30"/>
  <c r="AN30"/>
  <c r="AV30"/>
  <c r="AR30"/>
  <c r="W30"/>
  <c r="AE30"/>
  <c r="AM30"/>
  <c r="AU30"/>
  <c r="AB30"/>
  <c r="AZ30"/>
  <c r="AA30"/>
  <c r="AI30"/>
  <c r="AQ30"/>
  <c r="AY30"/>
  <c r="AJ30"/>
  <c r="U9"/>
  <c r="Y9"/>
  <c r="AC9"/>
  <c r="AG9"/>
  <c r="AK9"/>
  <c r="AO9"/>
  <c r="AW9"/>
  <c r="BA9"/>
  <c r="X9"/>
  <c r="AB9"/>
  <c r="AF9"/>
  <c r="AN9"/>
  <c r="AV9"/>
  <c r="AZ9"/>
  <c r="AA9"/>
  <c r="AQ9"/>
  <c r="AY9"/>
  <c r="AE9"/>
  <c r="Z9"/>
  <c r="AH9"/>
  <c r="AP9"/>
  <c r="AX9"/>
  <c r="W9"/>
  <c r="AU9"/>
  <c r="V9"/>
  <c r="AD9"/>
  <c r="AL9"/>
  <c r="AT9"/>
  <c r="AM9"/>
  <c r="K16"/>
  <c r="K6"/>
  <c r="U154"/>
  <c r="Y154"/>
  <c r="AC154"/>
  <c r="AK154"/>
  <c r="AO154"/>
  <c r="AS154"/>
  <c r="AW154"/>
  <c r="BA154"/>
  <c r="X154"/>
  <c r="AB154"/>
  <c r="AJ154"/>
  <c r="AN154"/>
  <c r="AV154"/>
  <c r="AZ154"/>
  <c r="V154"/>
  <c r="Z154"/>
  <c r="AD154"/>
  <c r="AH154"/>
  <c r="AL154"/>
  <c r="AP154"/>
  <c r="AT154"/>
  <c r="AX154"/>
  <c r="AE154"/>
  <c r="AU154"/>
  <c r="AA154"/>
  <c r="W154"/>
  <c r="AM154"/>
  <c r="AY154"/>
  <c r="AI154"/>
  <c r="X149"/>
  <c r="AB149"/>
  <c r="AF149"/>
  <c r="AJ149"/>
  <c r="AN149"/>
  <c r="AR149"/>
  <c r="AV149"/>
  <c r="AZ149"/>
  <c r="W149"/>
  <c r="AA149"/>
  <c r="AE149"/>
  <c r="AI149"/>
  <c r="AM149"/>
  <c r="AQ149"/>
  <c r="AU149"/>
  <c r="AY149"/>
  <c r="U149"/>
  <c r="Y149"/>
  <c r="AC149"/>
  <c r="AG149"/>
  <c r="AK149"/>
  <c r="AO149"/>
  <c r="AS149"/>
  <c r="AW149"/>
  <c r="BA149"/>
  <c r="V149"/>
  <c r="AL149"/>
  <c r="AH149"/>
  <c r="AX149"/>
  <c r="AD149"/>
  <c r="AT149"/>
  <c r="AP149"/>
  <c r="Z149"/>
  <c r="X42"/>
  <c r="AB42"/>
  <c r="AF42"/>
  <c r="AJ42"/>
  <c r="AN42"/>
  <c r="AR42"/>
  <c r="AV42"/>
  <c r="AZ42"/>
  <c r="AC42"/>
  <c r="AW42"/>
  <c r="W42"/>
  <c r="AA42"/>
  <c r="AE42"/>
  <c r="AI42"/>
  <c r="AM42"/>
  <c r="AQ42"/>
  <c r="AU42"/>
  <c r="AY42"/>
  <c r="Y42"/>
  <c r="AK42"/>
  <c r="AO42"/>
  <c r="V42"/>
  <c r="Z42"/>
  <c r="AD42"/>
  <c r="AH42"/>
  <c r="AL42"/>
  <c r="AP42"/>
  <c r="AT42"/>
  <c r="AX42"/>
  <c r="U42"/>
  <c r="AG42"/>
  <c r="AS42"/>
  <c r="BA42"/>
  <c r="W86"/>
  <c r="AA86"/>
  <c r="AE86"/>
  <c r="AI86"/>
  <c r="AM86"/>
  <c r="AU86"/>
  <c r="AY86"/>
  <c r="X86"/>
  <c r="AC86"/>
  <c r="AH86"/>
  <c r="AN86"/>
  <c r="AS86"/>
  <c r="AX86"/>
  <c r="Y86"/>
  <c r="AZ86"/>
  <c r="V86"/>
  <c r="AB86"/>
  <c r="AG86"/>
  <c r="AL86"/>
  <c r="AW86"/>
  <c r="AD86"/>
  <c r="AO86"/>
  <c r="U86"/>
  <c r="Z86"/>
  <c r="AF86"/>
  <c r="AK86"/>
  <c r="AP86"/>
  <c r="AV86"/>
  <c r="BA86"/>
  <c r="AJ86"/>
  <c r="AT86"/>
  <c r="V143"/>
  <c r="Z143"/>
  <c r="AD143"/>
  <c r="AH143"/>
  <c r="AL143"/>
  <c r="AP143"/>
  <c r="AT143"/>
  <c r="AX143"/>
  <c r="U143"/>
  <c r="Y143"/>
  <c r="AC143"/>
  <c r="AG143"/>
  <c r="AK143"/>
  <c r="AO143"/>
  <c r="AS143"/>
  <c r="AW143"/>
  <c r="BA143"/>
  <c r="W143"/>
  <c r="AA143"/>
  <c r="AE143"/>
  <c r="AI143"/>
  <c r="AM143"/>
  <c r="AQ143"/>
  <c r="AU143"/>
  <c r="AY143"/>
  <c r="AJ143"/>
  <c r="AZ143"/>
  <c r="AF143"/>
  <c r="AV143"/>
  <c r="AB143"/>
  <c r="AR143"/>
  <c r="AN143"/>
  <c r="X143"/>
  <c r="W156"/>
  <c r="AA156"/>
  <c r="AI156"/>
  <c r="AM156"/>
  <c r="AU156"/>
  <c r="AY156"/>
  <c r="V156"/>
  <c r="Z156"/>
  <c r="AD156"/>
  <c r="AH156"/>
  <c r="AL156"/>
  <c r="AP156"/>
  <c r="AT156"/>
  <c r="AX156"/>
  <c r="X156"/>
  <c r="AB156"/>
  <c r="AJ156"/>
  <c r="AN156"/>
  <c r="AV156"/>
  <c r="AZ156"/>
  <c r="U156"/>
  <c r="AK156"/>
  <c r="BA156"/>
  <c r="AG156"/>
  <c r="AW156"/>
  <c r="AC156"/>
  <c r="AS156"/>
  <c r="Y156"/>
  <c r="AO156"/>
  <c r="AW21"/>
  <c r="AK21"/>
  <c r="AO21"/>
  <c r="AS21"/>
  <c r="X21"/>
  <c r="AB21"/>
  <c r="AF21"/>
  <c r="AV21"/>
  <c r="AJ21"/>
  <c r="AN21"/>
  <c r="AR21"/>
  <c r="W21"/>
  <c r="AA21"/>
  <c r="AE21"/>
  <c r="AX21"/>
  <c r="AU21"/>
  <c r="AY21"/>
  <c r="AI21"/>
  <c r="AM21"/>
  <c r="AQ21"/>
  <c r="V21"/>
  <c r="Z21"/>
  <c r="AD21"/>
  <c r="AT21"/>
  <c r="U21"/>
  <c r="AP21"/>
  <c r="AG21"/>
  <c r="AH21"/>
  <c r="Y21"/>
  <c r="AL21"/>
  <c r="AC21"/>
  <c r="AU14"/>
  <c r="AI14"/>
  <c r="AQ14"/>
  <c r="V14"/>
  <c r="Z14"/>
  <c r="AD14"/>
  <c r="AX14"/>
  <c r="AH14"/>
  <c r="AL14"/>
  <c r="AP14"/>
  <c r="AT14"/>
  <c r="U14"/>
  <c r="Y14"/>
  <c r="AC14"/>
  <c r="AG14"/>
  <c r="AV14"/>
  <c r="AW14"/>
  <c r="BA14"/>
  <c r="AK14"/>
  <c r="AO14"/>
  <c r="AS14"/>
  <c r="X14"/>
  <c r="AB14"/>
  <c r="AF14"/>
  <c r="AZ14"/>
  <c r="W14"/>
  <c r="AR14"/>
  <c r="AJ14"/>
  <c r="AE14"/>
  <c r="AA14"/>
  <c r="AX13"/>
  <c r="AJ13"/>
  <c r="AR13"/>
  <c r="W13"/>
  <c r="AA13"/>
  <c r="AE13"/>
  <c r="AW13"/>
  <c r="AI13"/>
  <c r="AQ13"/>
  <c r="V13"/>
  <c r="Z13"/>
  <c r="AD13"/>
  <c r="AY13"/>
  <c r="AV13"/>
  <c r="AZ13"/>
  <c r="AH13"/>
  <c r="AP13"/>
  <c r="AT13"/>
  <c r="U13"/>
  <c r="Y13"/>
  <c r="AC13"/>
  <c r="AG13"/>
  <c r="AU13"/>
  <c r="AO13"/>
  <c r="AF13"/>
  <c r="AB13"/>
  <c r="X13"/>
  <c r="AS13"/>
  <c r="AU18"/>
  <c r="AY18"/>
  <c r="AI18"/>
  <c r="AM18"/>
  <c r="AQ18"/>
  <c r="V18"/>
  <c r="Z18"/>
  <c r="AD18"/>
  <c r="AX18"/>
  <c r="AH18"/>
  <c r="AL18"/>
  <c r="AP18"/>
  <c r="AT18"/>
  <c r="U18"/>
  <c r="Y18"/>
  <c r="AC18"/>
  <c r="AG18"/>
  <c r="AZ18"/>
  <c r="AW18"/>
  <c r="BA18"/>
  <c r="AK18"/>
  <c r="AO18"/>
  <c r="AS18"/>
  <c r="X18"/>
  <c r="AB18"/>
  <c r="AF18"/>
  <c r="AV18"/>
  <c r="AN18"/>
  <c r="AE18"/>
  <c r="AJ18"/>
  <c r="AA18"/>
  <c r="W18"/>
  <c r="AR18"/>
  <c r="AU28"/>
  <c r="AY28"/>
  <c r="AI28"/>
  <c r="AM28"/>
  <c r="AQ28"/>
  <c r="V28"/>
  <c r="Z28"/>
  <c r="AD28"/>
  <c r="AX28"/>
  <c r="AH28"/>
  <c r="AL28"/>
  <c r="AP28"/>
  <c r="AT28"/>
  <c r="U28"/>
  <c r="Y28"/>
  <c r="AC28"/>
  <c r="AG28"/>
  <c r="AW28"/>
  <c r="AK28"/>
  <c r="AO28"/>
  <c r="AS28"/>
  <c r="X28"/>
  <c r="AB28"/>
  <c r="AF28"/>
  <c r="AV28"/>
  <c r="AJ28"/>
  <c r="AA28"/>
  <c r="W28"/>
  <c r="AE28"/>
  <c r="AR28"/>
  <c r="AN28"/>
  <c r="AX27"/>
  <c r="AJ27"/>
  <c r="AN27"/>
  <c r="AR27"/>
  <c r="W27"/>
  <c r="AA27"/>
  <c r="AE27"/>
  <c r="AW27"/>
  <c r="AI27"/>
  <c r="AM27"/>
  <c r="AQ27"/>
  <c r="V27"/>
  <c r="Z27"/>
  <c r="AD27"/>
  <c r="AU27"/>
  <c r="AY27"/>
  <c r="AV27"/>
  <c r="AH27"/>
  <c r="AL27"/>
  <c r="AP27"/>
  <c r="AT27"/>
  <c r="U27"/>
  <c r="Y27"/>
  <c r="AC27"/>
  <c r="AG27"/>
  <c r="X27"/>
  <c r="AS27"/>
  <c r="AK27"/>
  <c r="AO27"/>
  <c r="AF27"/>
  <c r="AB27"/>
  <c r="K135"/>
  <c r="K130"/>
  <c r="K134"/>
  <c r="K129"/>
  <c r="K27"/>
  <c r="F53" l="1"/>
  <c r="G53" s="1"/>
  <c r="M53"/>
  <c r="Q53" s="1"/>
  <c r="F46"/>
  <c r="G46" s="1"/>
  <c r="M46"/>
  <c r="Q46" s="1"/>
  <c r="F44"/>
  <c r="G44" s="1"/>
  <c r="M44"/>
  <c r="Q44" s="1"/>
  <c r="F39"/>
  <c r="G39" s="1"/>
  <c r="M39"/>
  <c r="Q39" s="1"/>
  <c r="F50"/>
  <c r="G50" s="1"/>
  <c r="M50"/>
  <c r="Q50" s="1"/>
  <c r="F20"/>
  <c r="G20" s="1"/>
  <c r="M20"/>
  <c r="Q20" s="1"/>
  <c r="F17"/>
  <c r="G17" s="1"/>
  <c r="J17" s="1"/>
  <c r="M17"/>
  <c r="Q17" s="1"/>
  <c r="F19"/>
  <c r="G19" s="1"/>
  <c r="J19" s="1"/>
  <c r="M19"/>
  <c r="Q19" s="1"/>
  <c r="F15"/>
  <c r="G15" s="1"/>
  <c r="J15" s="1"/>
  <c r="M15"/>
  <c r="Q15" s="1"/>
  <c r="N39" l="1"/>
  <c r="O39" s="1"/>
  <c r="T53"/>
  <c r="T20"/>
  <c r="N19"/>
  <c r="O19" s="1"/>
  <c r="N17"/>
  <c r="O17" s="1"/>
  <c r="N53"/>
  <c r="O53" s="1"/>
  <c r="T39"/>
  <c r="N44"/>
  <c r="O44" s="1"/>
  <c r="T44"/>
  <c r="N50"/>
  <c r="O50" s="1"/>
  <c r="T50"/>
  <c r="N46"/>
  <c r="O46" s="1"/>
  <c r="T46"/>
  <c r="J39"/>
  <c r="I39"/>
  <c r="I46"/>
  <c r="J46"/>
  <c r="I53"/>
  <c r="J53"/>
  <c r="I44"/>
  <c r="J44"/>
  <c r="I50"/>
  <c r="J50"/>
  <c r="P44"/>
  <c r="R44" s="1"/>
  <c r="P46"/>
  <c r="R46" s="1"/>
  <c r="P39"/>
  <c r="R39" s="1"/>
  <c r="P53"/>
  <c r="R53" s="1"/>
  <c r="P50"/>
  <c r="R50" s="1"/>
  <c r="N20"/>
  <c r="O20" s="1"/>
  <c r="P15"/>
  <c r="R15" s="1"/>
  <c r="P20"/>
  <c r="R20" s="1"/>
  <c r="T19"/>
  <c r="I19"/>
  <c r="K19" s="1"/>
  <c r="P17"/>
  <c r="R17" s="1"/>
  <c r="T15"/>
  <c r="T17"/>
  <c r="P19"/>
  <c r="R19" s="1"/>
  <c r="I20"/>
  <c r="J20"/>
  <c r="N15"/>
  <c r="O15" s="1"/>
  <c r="I15"/>
  <c r="K15" s="1"/>
  <c r="I17"/>
  <c r="K17" s="1"/>
  <c r="S53" l="1"/>
  <c r="S50"/>
  <c r="S39"/>
  <c r="S44"/>
  <c r="S46"/>
  <c r="S19"/>
  <c r="S15"/>
  <c r="S17"/>
  <c r="S20"/>
  <c r="K50"/>
  <c r="K53"/>
  <c r="K46"/>
  <c r="K44"/>
  <c r="K39"/>
  <c r="K20"/>
  <c r="W44" l="1"/>
  <c r="AA44"/>
  <c r="AE44"/>
  <c r="AI44"/>
  <c r="AM44"/>
  <c r="AQ44"/>
  <c r="AU44"/>
  <c r="AY44"/>
  <c r="V44"/>
  <c r="AB44"/>
  <c r="AG44"/>
  <c r="AL44"/>
  <c r="AR44"/>
  <c r="AW44"/>
  <c r="AC44"/>
  <c r="AS44"/>
  <c r="U44"/>
  <c r="Z44"/>
  <c r="AF44"/>
  <c r="AK44"/>
  <c r="AP44"/>
  <c r="AV44"/>
  <c r="BA44"/>
  <c r="X44"/>
  <c r="AN44"/>
  <c r="Y44"/>
  <c r="AD44"/>
  <c r="AJ44"/>
  <c r="AO44"/>
  <c r="AT44"/>
  <c r="AZ44"/>
  <c r="AH44"/>
  <c r="AX44"/>
  <c r="V53"/>
  <c r="Z53"/>
  <c r="AD53"/>
  <c r="AH53"/>
  <c r="AL53"/>
  <c r="AP53"/>
  <c r="AT53"/>
  <c r="AX53"/>
  <c r="W53"/>
  <c r="AI53"/>
  <c r="AU53"/>
  <c r="U53"/>
  <c r="Y53"/>
  <c r="AC53"/>
  <c r="AG53"/>
  <c r="AK53"/>
  <c r="AO53"/>
  <c r="AS53"/>
  <c r="AW53"/>
  <c r="BA53"/>
  <c r="AY53"/>
  <c r="X53"/>
  <c r="AB53"/>
  <c r="AJ53"/>
  <c r="AN53"/>
  <c r="AV53"/>
  <c r="AZ53"/>
  <c r="AA53"/>
  <c r="AM53"/>
  <c r="V46"/>
  <c r="Z46"/>
  <c r="AD46"/>
  <c r="AH46"/>
  <c r="AL46"/>
  <c r="AP46"/>
  <c r="AT46"/>
  <c r="AX46"/>
  <c r="W46"/>
  <c r="AB46"/>
  <c r="AG46"/>
  <c r="AM46"/>
  <c r="AR46"/>
  <c r="AW46"/>
  <c r="AC46"/>
  <c r="AS46"/>
  <c r="U46"/>
  <c r="AA46"/>
  <c r="AF46"/>
  <c r="AK46"/>
  <c r="AQ46"/>
  <c r="AV46"/>
  <c r="BA46"/>
  <c r="X46"/>
  <c r="AN46"/>
  <c r="Y46"/>
  <c r="AE46"/>
  <c r="AJ46"/>
  <c r="AO46"/>
  <c r="AU46"/>
  <c r="AZ46"/>
  <c r="AI46"/>
  <c r="AY46"/>
  <c r="V50"/>
  <c r="Z50"/>
  <c r="AD50"/>
  <c r="AH50"/>
  <c r="AL50"/>
  <c r="AP50"/>
  <c r="AT50"/>
  <c r="AX50"/>
  <c r="X50"/>
  <c r="AC50"/>
  <c r="AI50"/>
  <c r="AN50"/>
  <c r="AS50"/>
  <c r="AY50"/>
  <c r="AJ50"/>
  <c r="AZ50"/>
  <c r="W50"/>
  <c r="AB50"/>
  <c r="AG50"/>
  <c r="AM50"/>
  <c r="AR50"/>
  <c r="AW50"/>
  <c r="Y50"/>
  <c r="AO50"/>
  <c r="U50"/>
  <c r="AA50"/>
  <c r="AF50"/>
  <c r="AK50"/>
  <c r="AQ50"/>
  <c r="AV50"/>
  <c r="BA50"/>
  <c r="AE50"/>
  <c r="AU50"/>
  <c r="U39"/>
  <c r="Y39"/>
  <c r="AC39"/>
  <c r="AG39"/>
  <c r="AK39"/>
  <c r="AO39"/>
  <c r="AS39"/>
  <c r="AW39"/>
  <c r="BA39"/>
  <c r="V39"/>
  <c r="AA39"/>
  <c r="AF39"/>
  <c r="AL39"/>
  <c r="AQ39"/>
  <c r="AV39"/>
  <c r="AH39"/>
  <c r="AX39"/>
  <c r="Z39"/>
  <c r="AE39"/>
  <c r="AJ39"/>
  <c r="AP39"/>
  <c r="AU39"/>
  <c r="AZ39"/>
  <c r="W39"/>
  <c r="AM39"/>
  <c r="X39"/>
  <c r="AD39"/>
  <c r="AI39"/>
  <c r="AN39"/>
  <c r="AT39"/>
  <c r="AY39"/>
  <c r="AB39"/>
  <c r="AR39"/>
  <c r="AX17"/>
  <c r="AJ17"/>
  <c r="AN17"/>
  <c r="AR17"/>
  <c r="W17"/>
  <c r="AA17"/>
  <c r="AE17"/>
  <c r="AW17"/>
  <c r="BA17"/>
  <c r="AI17"/>
  <c r="AM17"/>
  <c r="AQ17"/>
  <c r="V17"/>
  <c r="Z17"/>
  <c r="AD17"/>
  <c r="AV17"/>
  <c r="AZ17"/>
  <c r="AH17"/>
  <c r="AL17"/>
  <c r="AP17"/>
  <c r="AT17"/>
  <c r="U17"/>
  <c r="Y17"/>
  <c r="AC17"/>
  <c r="AG17"/>
  <c r="AY17"/>
  <c r="AO17"/>
  <c r="AF17"/>
  <c r="AU17"/>
  <c r="AK17"/>
  <c r="AB17"/>
  <c r="AS17"/>
  <c r="X17"/>
  <c r="AV19"/>
  <c r="AZ19"/>
  <c r="AH19"/>
  <c r="AL19"/>
  <c r="AP19"/>
  <c r="AT19"/>
  <c r="U19"/>
  <c r="Y19"/>
  <c r="AC19"/>
  <c r="AG19"/>
  <c r="AU19"/>
  <c r="AY19"/>
  <c r="AK19"/>
  <c r="AO19"/>
  <c r="X19"/>
  <c r="AB19"/>
  <c r="AF19"/>
  <c r="AW19"/>
  <c r="AX19"/>
  <c r="AJ19"/>
  <c r="AN19"/>
  <c r="W19"/>
  <c r="AA19"/>
  <c r="AE19"/>
  <c r="BA19"/>
  <c r="AQ19"/>
  <c r="AM19"/>
  <c r="AD19"/>
  <c r="V19"/>
  <c r="AI19"/>
  <c r="Z19"/>
  <c r="AX20"/>
  <c r="AJ20"/>
  <c r="AN20"/>
  <c r="AR20"/>
  <c r="W20"/>
  <c r="AA20"/>
  <c r="AE20"/>
  <c r="AW20"/>
  <c r="BA20"/>
  <c r="AI20"/>
  <c r="AM20"/>
  <c r="AQ20"/>
  <c r="V20"/>
  <c r="Z20"/>
  <c r="AD20"/>
  <c r="AY20"/>
  <c r="AV20"/>
  <c r="AZ20"/>
  <c r="AH20"/>
  <c r="AL20"/>
  <c r="AP20"/>
  <c r="AT20"/>
  <c r="U20"/>
  <c r="Y20"/>
  <c r="AC20"/>
  <c r="AG20"/>
  <c r="AU20"/>
  <c r="AK20"/>
  <c r="AB20"/>
  <c r="X20"/>
  <c r="AO20"/>
  <c r="AS20"/>
  <c r="AF20"/>
  <c r="AW15"/>
  <c r="BA15"/>
  <c r="AK15"/>
  <c r="AS15"/>
  <c r="X15"/>
  <c r="AB15"/>
  <c r="AF15"/>
  <c r="AV15"/>
  <c r="AZ15"/>
  <c r="AJ15"/>
  <c r="AR15"/>
  <c r="W15"/>
  <c r="AA15"/>
  <c r="AE15"/>
  <c r="AX15"/>
  <c r="AU15"/>
  <c r="AY15"/>
  <c r="AI15"/>
  <c r="AQ15"/>
  <c r="V15"/>
  <c r="Z15"/>
  <c r="AD15"/>
  <c r="AH15"/>
  <c r="Y15"/>
  <c r="AT15"/>
  <c r="U15"/>
  <c r="AC15"/>
  <c r="AP15"/>
  <c r="AG15"/>
  <c r="AL15"/>
  <c r="F123"/>
  <c r="G123" s="1"/>
  <c r="M123"/>
  <c r="Q123" s="1"/>
  <c r="F117"/>
  <c r="G117" s="1"/>
  <c r="M117"/>
  <c r="Q117" s="1"/>
  <c r="T123" l="1"/>
  <c r="T117"/>
  <c r="J123"/>
  <c r="I123"/>
  <c r="J117"/>
  <c r="I117"/>
  <c r="P117"/>
  <c r="R117" s="1"/>
  <c r="P123"/>
  <c r="R123" s="1"/>
  <c r="N117"/>
  <c r="O117" s="1"/>
  <c r="N123"/>
  <c r="O123" s="1"/>
  <c r="S117" l="1"/>
  <c r="S123"/>
  <c r="K117"/>
  <c r="K123"/>
  <c r="W117" l="1"/>
  <c r="AA117"/>
  <c r="AE117"/>
  <c r="AI117"/>
  <c r="AM117"/>
  <c r="AQ117"/>
  <c r="AU117"/>
  <c r="AY117"/>
  <c r="V117"/>
  <c r="Z117"/>
  <c r="AD117"/>
  <c r="AH117"/>
  <c r="AL117"/>
  <c r="AP117"/>
  <c r="AT117"/>
  <c r="AX117"/>
  <c r="X117"/>
  <c r="AF117"/>
  <c r="AN117"/>
  <c r="AV117"/>
  <c r="U117"/>
  <c r="AC117"/>
  <c r="AK117"/>
  <c r="AS117"/>
  <c r="BA117"/>
  <c r="AB117"/>
  <c r="AJ117"/>
  <c r="AR117"/>
  <c r="AZ117"/>
  <c r="AW117"/>
  <c r="Y117"/>
  <c r="AO117"/>
  <c r="AG117"/>
  <c r="W123"/>
  <c r="AA123"/>
  <c r="AE123"/>
  <c r="AI123"/>
  <c r="AM123"/>
  <c r="AQ123"/>
  <c r="AU123"/>
  <c r="AY123"/>
  <c r="V123"/>
  <c r="Z123"/>
  <c r="AD123"/>
  <c r="AH123"/>
  <c r="AL123"/>
  <c r="AP123"/>
  <c r="AT123"/>
  <c r="AX123"/>
  <c r="AB123"/>
  <c r="AJ123"/>
  <c r="AR123"/>
  <c r="AZ123"/>
  <c r="Y123"/>
  <c r="AG123"/>
  <c r="AO123"/>
  <c r="AW123"/>
  <c r="X123"/>
  <c r="AF123"/>
  <c r="AN123"/>
  <c r="AV123"/>
  <c r="AS123"/>
  <c r="U123"/>
  <c r="BA123"/>
  <c r="AK123"/>
  <c r="AC123"/>
  <c r="M22"/>
  <c r="M12"/>
  <c r="M25"/>
  <c r="M4"/>
  <c r="Q4" s="1"/>
  <c r="M59"/>
  <c r="Q59" s="1"/>
  <c r="M67"/>
  <c r="Q67" s="1"/>
  <c r="M51"/>
  <c r="Q51" s="1"/>
  <c r="M57"/>
  <c r="Q57" s="1"/>
  <c r="M49"/>
  <c r="Q49" s="1"/>
  <c r="M61"/>
  <c r="Q61" s="1"/>
  <c r="M41"/>
  <c r="Q41" s="1"/>
  <c r="M45"/>
  <c r="Q45" s="1"/>
  <c r="M48"/>
  <c r="Q48" s="1"/>
  <c r="M55"/>
  <c r="Q55" s="1"/>
  <c r="M60"/>
  <c r="Q60" s="1"/>
  <c r="M43"/>
  <c r="Q43" s="1"/>
  <c r="M52"/>
  <c r="Q52" s="1"/>
  <c r="M66"/>
  <c r="M37"/>
  <c r="Q37" s="1"/>
  <c r="M58"/>
  <c r="Q58" s="1"/>
  <c r="M54"/>
  <c r="Q54" s="1"/>
  <c r="M81"/>
  <c r="Q81" s="1"/>
  <c r="M99"/>
  <c r="M102"/>
  <c r="M97"/>
  <c r="M85"/>
  <c r="Q85" s="1"/>
  <c r="M84"/>
  <c r="Q84" s="1"/>
  <c r="M89"/>
  <c r="Q89" s="1"/>
  <c r="M80"/>
  <c r="Q80" s="1"/>
  <c r="M90"/>
  <c r="Q90" s="1"/>
  <c r="M101"/>
  <c r="M82"/>
  <c r="Q82" s="1"/>
  <c r="M100"/>
  <c r="M87"/>
  <c r="Q87" s="1"/>
  <c r="M83"/>
  <c r="Q83" s="1"/>
  <c r="M94"/>
  <c r="Q94" s="1"/>
  <c r="M96"/>
  <c r="M126"/>
  <c r="Q126" s="1"/>
  <c r="M133"/>
  <c r="Q133" s="1"/>
  <c r="M127"/>
  <c r="Q127" s="1"/>
  <c r="M128"/>
  <c r="Q128" s="1"/>
  <c r="M125"/>
  <c r="Q125" s="1"/>
  <c r="M118"/>
  <c r="Q118" s="1"/>
  <c r="M114"/>
  <c r="Q114" s="1"/>
  <c r="M120"/>
  <c r="Q120" s="1"/>
  <c r="M119"/>
  <c r="Q119" s="1"/>
  <c r="M122"/>
  <c r="Q122" s="1"/>
  <c r="M115"/>
  <c r="Q115" s="1"/>
  <c r="M116"/>
  <c r="Q116" s="1"/>
  <c r="M124"/>
  <c r="Q124" s="1"/>
  <c r="M121"/>
  <c r="Q121" s="1"/>
  <c r="M145"/>
  <c r="Q145" s="1"/>
  <c r="M170"/>
  <c r="Q170" s="1"/>
  <c r="M159"/>
  <c r="Q159" s="1"/>
  <c r="M153"/>
  <c r="Q153" s="1"/>
  <c r="M169"/>
  <c r="Q169" s="1"/>
  <c r="M158"/>
  <c r="Q158" s="1"/>
  <c r="M147"/>
  <c r="Q147" s="1"/>
  <c r="M163"/>
  <c r="Q163" s="1"/>
  <c r="M164"/>
  <c r="Q164" s="1"/>
  <c r="M162"/>
  <c r="Q162" s="1"/>
  <c r="M172"/>
  <c r="Q172" s="1"/>
  <c r="M161"/>
  <c r="Q161" s="1"/>
  <c r="M166"/>
  <c r="Q166" s="1"/>
  <c r="M168"/>
  <c r="Q168" s="1"/>
  <c r="M165"/>
  <c r="Q165" s="1"/>
  <c r="M167"/>
  <c r="Q167" s="1"/>
  <c r="M148"/>
  <c r="Q148" s="1"/>
  <c r="M146"/>
  <c r="Q146" s="1"/>
  <c r="M171"/>
  <c r="Q171" s="1"/>
  <c r="M155"/>
  <c r="Q155" s="1"/>
  <c r="M150"/>
  <c r="Q150" s="1"/>
  <c r="M151"/>
  <c r="Q151" s="1"/>
  <c r="M157"/>
  <c r="Q157" s="1"/>
  <c r="F22"/>
  <c r="F12"/>
  <c r="F25"/>
  <c r="F4"/>
  <c r="F59"/>
  <c r="F67"/>
  <c r="F51"/>
  <c r="F57"/>
  <c r="F49"/>
  <c r="F61"/>
  <c r="F41"/>
  <c r="F45"/>
  <c r="F48"/>
  <c r="F55"/>
  <c r="F60"/>
  <c r="F43"/>
  <c r="F52"/>
  <c r="F66"/>
  <c r="F37"/>
  <c r="F58"/>
  <c r="F54"/>
  <c r="F81"/>
  <c r="F99"/>
  <c r="F102"/>
  <c r="F97"/>
  <c r="F85"/>
  <c r="F84"/>
  <c r="F89"/>
  <c r="F80"/>
  <c r="F90"/>
  <c r="F101"/>
  <c r="F82"/>
  <c r="F100"/>
  <c r="F87"/>
  <c r="F83"/>
  <c r="F94"/>
  <c r="F96"/>
  <c r="F126"/>
  <c r="F133"/>
  <c r="F127"/>
  <c r="F128"/>
  <c r="F125"/>
  <c r="F118"/>
  <c r="F114"/>
  <c r="F120"/>
  <c r="F119"/>
  <c r="F122"/>
  <c r="F115"/>
  <c r="F116"/>
  <c r="F124"/>
  <c r="F121"/>
  <c r="F145"/>
  <c r="F170"/>
  <c r="F159"/>
  <c r="F153"/>
  <c r="F169"/>
  <c r="F158"/>
  <c r="F147"/>
  <c r="F163"/>
  <c r="F164"/>
  <c r="F162"/>
  <c r="F172"/>
  <c r="F161"/>
  <c r="F166"/>
  <c r="F168"/>
  <c r="F165"/>
  <c r="F167"/>
  <c r="F148"/>
  <c r="F146"/>
  <c r="F171"/>
  <c r="F155"/>
  <c r="F150"/>
  <c r="F151"/>
  <c r="F157"/>
  <c r="R82" l="1"/>
  <c r="R164"/>
  <c r="N157"/>
  <c r="T157"/>
  <c r="N172"/>
  <c r="T172"/>
  <c r="N128"/>
  <c r="T128"/>
  <c r="N96"/>
  <c r="O96" s="1"/>
  <c r="T96"/>
  <c r="N81"/>
  <c r="O81" s="1"/>
  <c r="T81"/>
  <c r="N41"/>
  <c r="T41"/>
  <c r="N51"/>
  <c r="T51"/>
  <c r="N59"/>
  <c r="T59"/>
  <c r="N150"/>
  <c r="T150"/>
  <c r="N148"/>
  <c r="T148"/>
  <c r="N124"/>
  <c r="O124" s="1"/>
  <c r="T124"/>
  <c r="N119"/>
  <c r="S119"/>
  <c r="N90"/>
  <c r="T90"/>
  <c r="N97"/>
  <c r="O97" s="1"/>
  <c r="T97"/>
  <c r="N22"/>
  <c r="O22" s="1"/>
  <c r="T22"/>
  <c r="N146"/>
  <c r="T146"/>
  <c r="N165"/>
  <c r="T165"/>
  <c r="N164"/>
  <c r="T164"/>
  <c r="N158"/>
  <c r="O158" s="1"/>
  <c r="T158"/>
  <c r="N153"/>
  <c r="T153"/>
  <c r="N121"/>
  <c r="T121"/>
  <c r="N115"/>
  <c r="O115" s="1"/>
  <c r="T115"/>
  <c r="N120"/>
  <c r="O120" s="1"/>
  <c r="T120"/>
  <c r="N125"/>
  <c r="T125"/>
  <c r="N127"/>
  <c r="T127"/>
  <c r="N94"/>
  <c r="T94"/>
  <c r="N87"/>
  <c r="O87" s="1"/>
  <c r="T87"/>
  <c r="N101"/>
  <c r="T101"/>
  <c r="N85"/>
  <c r="T85"/>
  <c r="N102"/>
  <c r="T102"/>
  <c r="N66"/>
  <c r="T66"/>
  <c r="N43"/>
  <c r="T43"/>
  <c r="N49"/>
  <c r="T49"/>
  <c r="N57"/>
  <c r="T57"/>
  <c r="N171"/>
  <c r="T171"/>
  <c r="N159"/>
  <c r="T159"/>
  <c r="N126"/>
  <c r="S126"/>
  <c r="N89"/>
  <c r="T89"/>
  <c r="N60"/>
  <c r="T60"/>
  <c r="N48"/>
  <c r="T48"/>
  <c r="N25"/>
  <c r="T25"/>
  <c r="N166"/>
  <c r="T166"/>
  <c r="N163"/>
  <c r="T163"/>
  <c r="N169"/>
  <c r="T169"/>
  <c r="N145"/>
  <c r="O145" s="1"/>
  <c r="T145"/>
  <c r="N122"/>
  <c r="T122"/>
  <c r="N114"/>
  <c r="O114" s="1"/>
  <c r="T114"/>
  <c r="N133"/>
  <c r="T133"/>
  <c r="N100"/>
  <c r="T100"/>
  <c r="N99"/>
  <c r="T99"/>
  <c r="N58"/>
  <c r="O58" s="1"/>
  <c r="T58"/>
  <c r="N52"/>
  <c r="T52"/>
  <c r="N55"/>
  <c r="O55" s="1"/>
  <c r="T55"/>
  <c r="N61"/>
  <c r="O61" s="1"/>
  <c r="T61"/>
  <c r="N4"/>
  <c r="T4"/>
  <c r="N151"/>
  <c r="T151"/>
  <c r="N155"/>
  <c r="T155"/>
  <c r="N167"/>
  <c r="T167"/>
  <c r="N168"/>
  <c r="T168"/>
  <c r="N161"/>
  <c r="T161"/>
  <c r="N162"/>
  <c r="T162"/>
  <c r="N147"/>
  <c r="T147"/>
  <c r="N170"/>
  <c r="T170"/>
  <c r="N116"/>
  <c r="T116"/>
  <c r="N118"/>
  <c r="T118"/>
  <c r="N83"/>
  <c r="T83"/>
  <c r="N82"/>
  <c r="T82"/>
  <c r="N80"/>
  <c r="T80"/>
  <c r="N84"/>
  <c r="O84" s="1"/>
  <c r="T84"/>
  <c r="N54"/>
  <c r="T54"/>
  <c r="N37"/>
  <c r="S37"/>
  <c r="N45"/>
  <c r="T45"/>
  <c r="N67"/>
  <c r="T67"/>
  <c r="N12"/>
  <c r="T12"/>
  <c r="P165"/>
  <c r="R165" s="1"/>
  <c r="P164"/>
  <c r="P158"/>
  <c r="R158" s="1"/>
  <c r="P153"/>
  <c r="R153" s="1"/>
  <c r="P121"/>
  <c r="R121" s="1"/>
  <c r="P115"/>
  <c r="R115" s="1"/>
  <c r="P120"/>
  <c r="R120" s="1"/>
  <c r="P125"/>
  <c r="R125" s="1"/>
  <c r="P127"/>
  <c r="R127" s="1"/>
  <c r="P94"/>
  <c r="R94" s="1"/>
  <c r="P87"/>
  <c r="R87" s="1"/>
  <c r="P101"/>
  <c r="R101" s="1"/>
  <c r="P85"/>
  <c r="R85" s="1"/>
  <c r="P102"/>
  <c r="R102" s="1"/>
  <c r="P66"/>
  <c r="R66" s="1"/>
  <c r="P43"/>
  <c r="R43" s="1"/>
  <c r="P49"/>
  <c r="R49" s="1"/>
  <c r="P57"/>
  <c r="R57" s="1"/>
  <c r="P45"/>
  <c r="R45" s="1"/>
  <c r="P67"/>
  <c r="R67" s="1"/>
  <c r="P12"/>
  <c r="R12" s="1"/>
  <c r="G151"/>
  <c r="J151" s="1"/>
  <c r="P151"/>
  <c r="R151" s="1"/>
  <c r="G155"/>
  <c r="J155" s="1"/>
  <c r="P155"/>
  <c r="R155" s="1"/>
  <c r="G167"/>
  <c r="J167" s="1"/>
  <c r="P167"/>
  <c r="R167" s="1"/>
  <c r="G157"/>
  <c r="J157" s="1"/>
  <c r="P157"/>
  <c r="R157" s="1"/>
  <c r="G171"/>
  <c r="J171" s="1"/>
  <c r="P171"/>
  <c r="R171" s="1"/>
  <c r="G150"/>
  <c r="J150" s="1"/>
  <c r="P150"/>
  <c r="R150" s="1"/>
  <c r="G148"/>
  <c r="J148" s="1"/>
  <c r="P148"/>
  <c r="R148" s="1"/>
  <c r="P168"/>
  <c r="R168" s="1"/>
  <c r="P161"/>
  <c r="R161" s="1"/>
  <c r="P162"/>
  <c r="R162" s="1"/>
  <c r="P147"/>
  <c r="R147" s="1"/>
  <c r="P170"/>
  <c r="R170" s="1"/>
  <c r="P116"/>
  <c r="R116" s="1"/>
  <c r="P118"/>
  <c r="R118" s="1"/>
  <c r="P83"/>
  <c r="R83" s="1"/>
  <c r="P82"/>
  <c r="P80"/>
  <c r="R80" s="1"/>
  <c r="P84"/>
  <c r="R84" s="1"/>
  <c r="P54"/>
  <c r="R54" s="1"/>
  <c r="P37"/>
  <c r="R37" s="1"/>
  <c r="P172"/>
  <c r="R172" s="1"/>
  <c r="P159"/>
  <c r="R159" s="1"/>
  <c r="P128"/>
  <c r="R128" s="1"/>
  <c r="P126"/>
  <c r="R126" s="1"/>
  <c r="P96"/>
  <c r="R96" s="1"/>
  <c r="P89"/>
  <c r="R89" s="1"/>
  <c r="P81"/>
  <c r="R81" s="1"/>
  <c r="P60"/>
  <c r="R60" s="1"/>
  <c r="P48"/>
  <c r="R48" s="1"/>
  <c r="P41"/>
  <c r="R41" s="1"/>
  <c r="P51"/>
  <c r="R51" s="1"/>
  <c r="P59"/>
  <c r="R59" s="1"/>
  <c r="P25"/>
  <c r="R25" s="1"/>
  <c r="P166"/>
  <c r="R166" s="1"/>
  <c r="P163"/>
  <c r="R163" s="1"/>
  <c r="P169"/>
  <c r="R169" s="1"/>
  <c r="P145"/>
  <c r="R145" s="1"/>
  <c r="P124"/>
  <c r="R124" s="1"/>
  <c r="P122"/>
  <c r="R122" s="1"/>
  <c r="P119"/>
  <c r="R119" s="1"/>
  <c r="P114"/>
  <c r="R114" s="1"/>
  <c r="P133"/>
  <c r="R133" s="1"/>
  <c r="P100"/>
  <c r="R100" s="1"/>
  <c r="P90"/>
  <c r="R90" s="1"/>
  <c r="P97"/>
  <c r="R97" s="1"/>
  <c r="P99"/>
  <c r="R99" s="1"/>
  <c r="P58"/>
  <c r="R58" s="1"/>
  <c r="P52"/>
  <c r="R52" s="1"/>
  <c r="P55"/>
  <c r="R55" s="1"/>
  <c r="P61"/>
  <c r="R61" s="1"/>
  <c r="P4"/>
  <c r="R4" s="1"/>
  <c r="P22"/>
  <c r="R22" s="1"/>
  <c r="G146"/>
  <c r="J146" s="1"/>
  <c r="P146"/>
  <c r="R146" s="1"/>
  <c r="W37" l="1"/>
  <c r="AA37"/>
  <c r="AE37"/>
  <c r="AI37"/>
  <c r="AM37"/>
  <c r="AQ37"/>
  <c r="AU37"/>
  <c r="AY37"/>
  <c r="X37"/>
  <c r="AJ37"/>
  <c r="AV37"/>
  <c r="V37"/>
  <c r="Z37"/>
  <c r="AD37"/>
  <c r="AH37"/>
  <c r="AL37"/>
  <c r="AP37"/>
  <c r="AT37"/>
  <c r="AX37"/>
  <c r="U37"/>
  <c r="AF37"/>
  <c r="AN37"/>
  <c r="Y37"/>
  <c r="AC37"/>
  <c r="AG37"/>
  <c r="AK37"/>
  <c r="AO37"/>
  <c r="AS37"/>
  <c r="AW37"/>
  <c r="BA37"/>
  <c r="AB37"/>
  <c r="AR37"/>
  <c r="AZ37"/>
  <c r="X126"/>
  <c r="AB126"/>
  <c r="AF126"/>
  <c r="AJ126"/>
  <c r="AN126"/>
  <c r="AR126"/>
  <c r="AV126"/>
  <c r="AZ126"/>
  <c r="W126"/>
  <c r="AA126"/>
  <c r="AE126"/>
  <c r="AI126"/>
  <c r="AM126"/>
  <c r="AQ126"/>
  <c r="AU126"/>
  <c r="AY126"/>
  <c r="Y126"/>
  <c r="AG126"/>
  <c r="AO126"/>
  <c r="AW126"/>
  <c r="V126"/>
  <c r="AD126"/>
  <c r="AL126"/>
  <c r="AT126"/>
  <c r="U126"/>
  <c r="AC126"/>
  <c r="AK126"/>
  <c r="AS126"/>
  <c r="BA126"/>
  <c r="AX126"/>
  <c r="Z126"/>
  <c r="AP126"/>
  <c r="AH126"/>
  <c r="X119"/>
  <c r="AB119"/>
  <c r="AF119"/>
  <c r="AJ119"/>
  <c r="AN119"/>
  <c r="AR119"/>
  <c r="AV119"/>
  <c r="AZ119"/>
  <c r="W119"/>
  <c r="AA119"/>
  <c r="AE119"/>
  <c r="AI119"/>
  <c r="AM119"/>
  <c r="AQ119"/>
  <c r="AU119"/>
  <c r="AY119"/>
  <c r="V119"/>
  <c r="Z119"/>
  <c r="AD119"/>
  <c r="AH119"/>
  <c r="AL119"/>
  <c r="AP119"/>
  <c r="AT119"/>
  <c r="AX119"/>
  <c r="AG119"/>
  <c r="AW119"/>
  <c r="AC119"/>
  <c r="AS119"/>
  <c r="Y119"/>
  <c r="AO119"/>
  <c r="AK119"/>
  <c r="BA119"/>
  <c r="U119"/>
  <c r="S145"/>
  <c r="S158"/>
  <c r="T126"/>
  <c r="S120"/>
  <c r="S115"/>
  <c r="S124"/>
  <c r="T119"/>
  <c r="S114"/>
  <c r="S96"/>
  <c r="S84"/>
  <c r="S87"/>
  <c r="S97"/>
  <c r="S81"/>
  <c r="S61"/>
  <c r="S58"/>
  <c r="S55"/>
  <c r="T37"/>
  <c r="S22"/>
  <c r="BA22" s="1"/>
  <c r="O80"/>
  <c r="O116"/>
  <c r="O170"/>
  <c r="O162"/>
  <c r="O168"/>
  <c r="O151"/>
  <c r="O169"/>
  <c r="O166"/>
  <c r="O89"/>
  <c r="O102"/>
  <c r="O94"/>
  <c r="O127"/>
  <c r="O164"/>
  <c r="O146"/>
  <c r="O150"/>
  <c r="O157"/>
  <c r="O82"/>
  <c r="O83"/>
  <c r="O118"/>
  <c r="O147"/>
  <c r="O161"/>
  <c r="O167"/>
  <c r="O155"/>
  <c r="O99"/>
  <c r="O100"/>
  <c r="O133"/>
  <c r="O122"/>
  <c r="O163"/>
  <c r="O159"/>
  <c r="O171"/>
  <c r="O85"/>
  <c r="O101"/>
  <c r="O125"/>
  <c r="O121"/>
  <c r="O153"/>
  <c r="O165"/>
  <c r="O90"/>
  <c r="O148"/>
  <c r="O128"/>
  <c r="O172"/>
  <c r="O45"/>
  <c r="O54"/>
  <c r="O48"/>
  <c r="O51"/>
  <c r="O41"/>
  <c r="O67"/>
  <c r="O52"/>
  <c r="O25"/>
  <c r="O60"/>
  <c r="O49"/>
  <c r="O43"/>
  <c r="O59"/>
  <c r="O12"/>
  <c r="O4"/>
  <c r="O57"/>
  <c r="O66"/>
  <c r="I167"/>
  <c r="K167" s="1"/>
  <c r="I151"/>
  <c r="K151" s="1"/>
  <c r="I146"/>
  <c r="K146" s="1"/>
  <c r="I157"/>
  <c r="K157" s="1"/>
  <c r="I148"/>
  <c r="K148" s="1"/>
  <c r="I155"/>
  <c r="K155" s="1"/>
  <c r="I150"/>
  <c r="K150" s="1"/>
  <c r="I171"/>
  <c r="K171" s="1"/>
  <c r="X87" l="1"/>
  <c r="AB87"/>
  <c r="AF87"/>
  <c r="AJ87"/>
  <c r="AN87"/>
  <c r="AV87"/>
  <c r="AZ87"/>
  <c r="W87"/>
  <c r="AA87"/>
  <c r="AE87"/>
  <c r="AI87"/>
  <c r="AM87"/>
  <c r="AU87"/>
  <c r="AY87"/>
  <c r="V87"/>
  <c r="Z87"/>
  <c r="AD87"/>
  <c r="AH87"/>
  <c r="AL87"/>
  <c r="AP87"/>
  <c r="AT87"/>
  <c r="AX87"/>
  <c r="AC87"/>
  <c r="AS87"/>
  <c r="AG87"/>
  <c r="Y87"/>
  <c r="AO87"/>
  <c r="AW87"/>
  <c r="U87"/>
  <c r="AK87"/>
  <c r="BA87"/>
  <c r="V114"/>
  <c r="Z114"/>
  <c r="AD114"/>
  <c r="AH114"/>
  <c r="AL114"/>
  <c r="AP114"/>
  <c r="AT114"/>
  <c r="AX114"/>
  <c r="U114"/>
  <c r="Y114"/>
  <c r="AC114"/>
  <c r="AG114"/>
  <c r="AK114"/>
  <c r="AO114"/>
  <c r="AS114"/>
  <c r="AW114"/>
  <c r="BA114"/>
  <c r="W114"/>
  <c r="AE114"/>
  <c r="AM114"/>
  <c r="AU114"/>
  <c r="AB114"/>
  <c r="AJ114"/>
  <c r="AR114"/>
  <c r="AZ114"/>
  <c r="AA114"/>
  <c r="AI114"/>
  <c r="AQ114"/>
  <c r="AY114"/>
  <c r="AV114"/>
  <c r="X114"/>
  <c r="AN114"/>
  <c r="AF114"/>
  <c r="W55"/>
  <c r="AA55"/>
  <c r="AI55"/>
  <c r="AM55"/>
  <c r="AU55"/>
  <c r="AY55"/>
  <c r="X55"/>
  <c r="V55"/>
  <c r="Z55"/>
  <c r="AD55"/>
  <c r="AH55"/>
  <c r="AL55"/>
  <c r="AP55"/>
  <c r="AT55"/>
  <c r="AX55"/>
  <c r="AB55"/>
  <c r="AN55"/>
  <c r="AZ55"/>
  <c r="U55"/>
  <c r="Y55"/>
  <c r="AC55"/>
  <c r="AG55"/>
  <c r="AK55"/>
  <c r="AO55"/>
  <c r="AS55"/>
  <c r="AW55"/>
  <c r="BA55"/>
  <c r="AJ55"/>
  <c r="AV55"/>
  <c r="Z81"/>
  <c r="X81"/>
  <c r="AC81"/>
  <c r="AG81"/>
  <c r="AK81"/>
  <c r="AO81"/>
  <c r="AS81"/>
  <c r="AW81"/>
  <c r="BA81"/>
  <c r="W81"/>
  <c r="AB81"/>
  <c r="AF81"/>
  <c r="AJ81"/>
  <c r="AN81"/>
  <c r="AR81"/>
  <c r="AV81"/>
  <c r="AZ81"/>
  <c r="V81"/>
  <c r="AA81"/>
  <c r="AE81"/>
  <c r="AI81"/>
  <c r="AM81"/>
  <c r="AQ81"/>
  <c r="AU81"/>
  <c r="AY81"/>
  <c r="AD81"/>
  <c r="AT81"/>
  <c r="AH81"/>
  <c r="AX81"/>
  <c r="Y81"/>
  <c r="AP81"/>
  <c r="U81"/>
  <c r="AL81"/>
  <c r="Z84"/>
  <c r="X84"/>
  <c r="AC84"/>
  <c r="AG84"/>
  <c r="AK84"/>
  <c r="AO84"/>
  <c r="AS84"/>
  <c r="AW84"/>
  <c r="BA84"/>
  <c r="W84"/>
  <c r="AD84"/>
  <c r="AI84"/>
  <c r="AN84"/>
  <c r="AT84"/>
  <c r="AY84"/>
  <c r="AJ84"/>
  <c r="AZ84"/>
  <c r="V84"/>
  <c r="AB84"/>
  <c r="AH84"/>
  <c r="AM84"/>
  <c r="AR84"/>
  <c r="AX84"/>
  <c r="Y84"/>
  <c r="AP84"/>
  <c r="U84"/>
  <c r="AA84"/>
  <c r="AF84"/>
  <c r="AL84"/>
  <c r="AQ84"/>
  <c r="AV84"/>
  <c r="AE84"/>
  <c r="AU84"/>
  <c r="U124"/>
  <c r="Y124"/>
  <c r="AC124"/>
  <c r="AG124"/>
  <c r="AK124"/>
  <c r="AO124"/>
  <c r="AS124"/>
  <c r="AW124"/>
  <c r="BA124"/>
  <c r="X124"/>
  <c r="AB124"/>
  <c r="AF124"/>
  <c r="AJ124"/>
  <c r="AN124"/>
  <c r="AR124"/>
  <c r="AV124"/>
  <c r="AZ124"/>
  <c r="Z124"/>
  <c r="AH124"/>
  <c r="AP124"/>
  <c r="AX124"/>
  <c r="W124"/>
  <c r="AE124"/>
  <c r="AM124"/>
  <c r="AU124"/>
  <c r="V124"/>
  <c r="AD124"/>
  <c r="AL124"/>
  <c r="AT124"/>
  <c r="AQ124"/>
  <c r="AY124"/>
  <c r="AI124"/>
  <c r="AA124"/>
  <c r="U158"/>
  <c r="Y158"/>
  <c r="AC158"/>
  <c r="AG158"/>
  <c r="AK158"/>
  <c r="AO158"/>
  <c r="AS158"/>
  <c r="AW158"/>
  <c r="BA158"/>
  <c r="X158"/>
  <c r="AB158"/>
  <c r="AF158"/>
  <c r="AJ158"/>
  <c r="AN158"/>
  <c r="AV158"/>
  <c r="AZ158"/>
  <c r="V158"/>
  <c r="Z158"/>
  <c r="AD158"/>
  <c r="AH158"/>
  <c r="AL158"/>
  <c r="AP158"/>
  <c r="AT158"/>
  <c r="AX158"/>
  <c r="AE158"/>
  <c r="AU158"/>
  <c r="AA158"/>
  <c r="W158"/>
  <c r="AM158"/>
  <c r="AI158"/>
  <c r="AY158"/>
  <c r="X61"/>
  <c r="AB61"/>
  <c r="AF61"/>
  <c r="AJ61"/>
  <c r="AN61"/>
  <c r="AV61"/>
  <c r="AZ61"/>
  <c r="U61"/>
  <c r="Z61"/>
  <c r="AE61"/>
  <c r="AK61"/>
  <c r="AP61"/>
  <c r="AU61"/>
  <c r="BA61"/>
  <c r="AG61"/>
  <c r="AL61"/>
  <c r="Y61"/>
  <c r="AD61"/>
  <c r="AI61"/>
  <c r="AO61"/>
  <c r="AT61"/>
  <c r="AY61"/>
  <c r="V61"/>
  <c r="AW61"/>
  <c r="W61"/>
  <c r="AC61"/>
  <c r="AH61"/>
  <c r="AM61"/>
  <c r="AS61"/>
  <c r="AX61"/>
  <c r="AA61"/>
  <c r="U120"/>
  <c r="Y120"/>
  <c r="AC120"/>
  <c r="AG120"/>
  <c r="AK120"/>
  <c r="AO120"/>
  <c r="AS120"/>
  <c r="AW120"/>
  <c r="BA120"/>
  <c r="X120"/>
  <c r="AB120"/>
  <c r="AF120"/>
  <c r="AJ120"/>
  <c r="AN120"/>
  <c r="AR120"/>
  <c r="AV120"/>
  <c r="AZ120"/>
  <c r="V120"/>
  <c r="AD120"/>
  <c r="AL120"/>
  <c r="AT120"/>
  <c r="AA120"/>
  <c r="AI120"/>
  <c r="AQ120"/>
  <c r="AY120"/>
  <c r="Z120"/>
  <c r="AH120"/>
  <c r="AP120"/>
  <c r="AX120"/>
  <c r="AU120"/>
  <c r="W120"/>
  <c r="AM120"/>
  <c r="AE120"/>
  <c r="U58"/>
  <c r="Y58"/>
  <c r="AC58"/>
  <c r="AG58"/>
  <c r="AK58"/>
  <c r="AO58"/>
  <c r="AS58"/>
  <c r="AW58"/>
  <c r="BA58"/>
  <c r="X58"/>
  <c r="AD58"/>
  <c r="AI58"/>
  <c r="AT58"/>
  <c r="AY58"/>
  <c r="AJ58"/>
  <c r="AZ58"/>
  <c r="W58"/>
  <c r="AB58"/>
  <c r="AH58"/>
  <c r="AR58"/>
  <c r="AX58"/>
  <c r="Z58"/>
  <c r="AP58"/>
  <c r="V58"/>
  <c r="AA58"/>
  <c r="AF58"/>
  <c r="AL58"/>
  <c r="AQ58"/>
  <c r="AV58"/>
  <c r="AE58"/>
  <c r="AU58"/>
  <c r="V97"/>
  <c r="Z97"/>
  <c r="AD97"/>
  <c r="AH97"/>
  <c r="AL97"/>
  <c r="AP97"/>
  <c r="AT97"/>
  <c r="AX97"/>
  <c r="U97"/>
  <c r="Y97"/>
  <c r="AC97"/>
  <c r="AG97"/>
  <c r="AK97"/>
  <c r="AO97"/>
  <c r="AS97"/>
  <c r="AW97"/>
  <c r="BA97"/>
  <c r="X97"/>
  <c r="AB97"/>
  <c r="AF97"/>
  <c r="AJ97"/>
  <c r="AN97"/>
  <c r="AR97"/>
  <c r="AV97"/>
  <c r="AZ97"/>
  <c r="W97"/>
  <c r="AM97"/>
  <c r="AA97"/>
  <c r="AI97"/>
  <c r="AY97"/>
  <c r="AQ97"/>
  <c r="AE97"/>
  <c r="AU97"/>
  <c r="V96"/>
  <c r="Z96"/>
  <c r="AD96"/>
  <c r="AH96"/>
  <c r="AL96"/>
  <c r="AP96"/>
  <c r="AT96"/>
  <c r="AX96"/>
  <c r="Y96"/>
  <c r="AE96"/>
  <c r="AJ96"/>
  <c r="AO96"/>
  <c r="AU96"/>
  <c r="AZ96"/>
  <c r="U96"/>
  <c r="AA96"/>
  <c r="AK96"/>
  <c r="BA96"/>
  <c r="X96"/>
  <c r="AC96"/>
  <c r="AI96"/>
  <c r="AN96"/>
  <c r="AS96"/>
  <c r="AY96"/>
  <c r="AF96"/>
  <c r="AV96"/>
  <c r="W96"/>
  <c r="AB96"/>
  <c r="AG96"/>
  <c r="AM96"/>
  <c r="AR96"/>
  <c r="AW96"/>
  <c r="AQ96"/>
  <c r="X115"/>
  <c r="AB115"/>
  <c r="AF115"/>
  <c r="AJ115"/>
  <c r="AN115"/>
  <c r="AR115"/>
  <c r="AV115"/>
  <c r="AZ115"/>
  <c r="W115"/>
  <c r="AA115"/>
  <c r="AE115"/>
  <c r="AI115"/>
  <c r="AM115"/>
  <c r="AQ115"/>
  <c r="AU115"/>
  <c r="AY115"/>
  <c r="U115"/>
  <c r="AC115"/>
  <c r="AK115"/>
  <c r="AS115"/>
  <c r="BA115"/>
  <c r="Z115"/>
  <c r="AH115"/>
  <c r="AP115"/>
  <c r="AX115"/>
  <c r="Y115"/>
  <c r="AG115"/>
  <c r="AO115"/>
  <c r="AW115"/>
  <c r="AT115"/>
  <c r="V115"/>
  <c r="AL115"/>
  <c r="AD115"/>
  <c r="V145"/>
  <c r="Z145"/>
  <c r="AD145"/>
  <c r="AH145"/>
  <c r="AL145"/>
  <c r="AP145"/>
  <c r="AT145"/>
  <c r="AX145"/>
  <c r="U145"/>
  <c r="Y145"/>
  <c r="AC145"/>
  <c r="AG145"/>
  <c r="AK145"/>
  <c r="AO145"/>
  <c r="AS145"/>
  <c r="AW145"/>
  <c r="BA145"/>
  <c r="X145"/>
  <c r="AB145"/>
  <c r="AF145"/>
  <c r="AJ145"/>
  <c r="AN145"/>
  <c r="AR145"/>
  <c r="AV145"/>
  <c r="AZ145"/>
  <c r="AI145"/>
  <c r="AY145"/>
  <c r="AE145"/>
  <c r="AU145"/>
  <c r="AA145"/>
  <c r="AQ145"/>
  <c r="W145"/>
  <c r="AM145"/>
  <c r="AV22"/>
  <c r="AZ22"/>
  <c r="AH22"/>
  <c r="AL22"/>
  <c r="AP22"/>
  <c r="AT22"/>
  <c r="U22"/>
  <c r="Y22"/>
  <c r="AC22"/>
  <c r="AG22"/>
  <c r="AU22"/>
  <c r="AY22"/>
  <c r="AK22"/>
  <c r="AO22"/>
  <c r="AS22"/>
  <c r="X22"/>
  <c r="AB22"/>
  <c r="AF22"/>
  <c r="AX22"/>
  <c r="AJ22"/>
  <c r="AN22"/>
  <c r="AR22"/>
  <c r="W22"/>
  <c r="AA22"/>
  <c r="AE22"/>
  <c r="AW22"/>
  <c r="AM22"/>
  <c r="AD22"/>
  <c r="AI22"/>
  <c r="Z22"/>
  <c r="V22"/>
  <c r="AQ22"/>
  <c r="S147"/>
  <c r="S146"/>
  <c r="S166"/>
  <c r="S162"/>
  <c r="S161"/>
  <c r="S150"/>
  <c r="S172"/>
  <c r="S167"/>
  <c r="S151"/>
  <c r="S165"/>
  <c r="S163"/>
  <c r="S159"/>
  <c r="S168"/>
  <c r="S148"/>
  <c r="S153"/>
  <c r="S171"/>
  <c r="S155"/>
  <c r="S157"/>
  <c r="S164"/>
  <c r="S169"/>
  <c r="S170"/>
  <c r="S125"/>
  <c r="S127"/>
  <c r="S128"/>
  <c r="S122"/>
  <c r="S118"/>
  <c r="S116"/>
  <c r="S121"/>
  <c r="S133"/>
  <c r="S94"/>
  <c r="S85"/>
  <c r="S100"/>
  <c r="S82"/>
  <c r="S90"/>
  <c r="S101"/>
  <c r="S83"/>
  <c r="S102"/>
  <c r="S99"/>
  <c r="S89"/>
  <c r="S80"/>
  <c r="S49"/>
  <c r="S48"/>
  <c r="S67"/>
  <c r="S57"/>
  <c r="S59"/>
  <c r="S45"/>
  <c r="S43"/>
  <c r="S66"/>
  <c r="S60"/>
  <c r="S51"/>
  <c r="S52"/>
  <c r="S41"/>
  <c r="S54"/>
  <c r="S25"/>
  <c r="BA25" s="1"/>
  <c r="S4"/>
  <c r="S12"/>
  <c r="BA12" s="1"/>
  <c r="G121"/>
  <c r="J121" s="1"/>
  <c r="G124"/>
  <c r="J124" s="1"/>
  <c r="G116"/>
  <c r="J116" s="1"/>
  <c r="G115"/>
  <c r="J115" s="1"/>
  <c r="G122"/>
  <c r="J122" s="1"/>
  <c r="U54" l="1"/>
  <c r="Y54"/>
  <c r="AC54"/>
  <c r="AG54"/>
  <c r="AK54"/>
  <c r="AO54"/>
  <c r="AS54"/>
  <c r="AW54"/>
  <c r="BA54"/>
  <c r="W54"/>
  <c r="AB54"/>
  <c r="AH54"/>
  <c r="AM54"/>
  <c r="AX54"/>
  <c r="AI54"/>
  <c r="AY54"/>
  <c r="V54"/>
  <c r="AA54"/>
  <c r="AL54"/>
  <c r="AV54"/>
  <c r="X54"/>
  <c r="AN54"/>
  <c r="Z54"/>
  <c r="AJ54"/>
  <c r="AP54"/>
  <c r="AU54"/>
  <c r="AZ54"/>
  <c r="AD54"/>
  <c r="AT54"/>
  <c r="U67"/>
  <c r="Y67"/>
  <c r="AC67"/>
  <c r="AG67"/>
  <c r="AK67"/>
  <c r="AO67"/>
  <c r="AS67"/>
  <c r="AW67"/>
  <c r="BA67"/>
  <c r="AD67"/>
  <c r="AP67"/>
  <c r="X67"/>
  <c r="AB67"/>
  <c r="AF67"/>
  <c r="AJ67"/>
  <c r="AN67"/>
  <c r="AR67"/>
  <c r="AV67"/>
  <c r="AZ67"/>
  <c r="Z67"/>
  <c r="AL67"/>
  <c r="AT67"/>
  <c r="W67"/>
  <c r="AA67"/>
  <c r="AE67"/>
  <c r="AI67"/>
  <c r="AM67"/>
  <c r="AQ67"/>
  <c r="AU67"/>
  <c r="AY67"/>
  <c r="V67"/>
  <c r="AH67"/>
  <c r="AX67"/>
  <c r="U83"/>
  <c r="Y83"/>
  <c r="AC83"/>
  <c r="AG83"/>
  <c r="AK83"/>
  <c r="AO83"/>
  <c r="AS83"/>
  <c r="BA83"/>
  <c r="X83"/>
  <c r="AB83"/>
  <c r="AF83"/>
  <c r="AJ83"/>
  <c r="AN83"/>
  <c r="AR83"/>
  <c r="AV83"/>
  <c r="AZ83"/>
  <c r="W83"/>
  <c r="AA83"/>
  <c r="AE83"/>
  <c r="AI83"/>
  <c r="AM83"/>
  <c r="AQ83"/>
  <c r="AU83"/>
  <c r="AY83"/>
  <c r="Z83"/>
  <c r="AP83"/>
  <c r="AT83"/>
  <c r="V83"/>
  <c r="AL83"/>
  <c r="AD83"/>
  <c r="AH83"/>
  <c r="V170"/>
  <c r="Z170"/>
  <c r="AD170"/>
  <c r="AH170"/>
  <c r="AL170"/>
  <c r="AP170"/>
  <c r="AT170"/>
  <c r="AX170"/>
  <c r="U170"/>
  <c r="Y170"/>
  <c r="AC170"/>
  <c r="AG170"/>
  <c r="AK170"/>
  <c r="AO170"/>
  <c r="AS170"/>
  <c r="AW170"/>
  <c r="BA170"/>
  <c r="W170"/>
  <c r="AA170"/>
  <c r="AE170"/>
  <c r="AI170"/>
  <c r="AM170"/>
  <c r="AQ170"/>
  <c r="AU170"/>
  <c r="AY170"/>
  <c r="X170"/>
  <c r="AN170"/>
  <c r="AJ170"/>
  <c r="AZ170"/>
  <c r="AF170"/>
  <c r="AV170"/>
  <c r="AR170"/>
  <c r="AB170"/>
  <c r="U49"/>
  <c r="Y49"/>
  <c r="AC49"/>
  <c r="AG49"/>
  <c r="AK49"/>
  <c r="AO49"/>
  <c r="AS49"/>
  <c r="AW49"/>
  <c r="BA49"/>
  <c r="Z49"/>
  <c r="AP49"/>
  <c r="X49"/>
  <c r="AB49"/>
  <c r="AF49"/>
  <c r="AJ49"/>
  <c r="AN49"/>
  <c r="AR49"/>
  <c r="AV49"/>
  <c r="AZ49"/>
  <c r="AD49"/>
  <c r="AL49"/>
  <c r="AX49"/>
  <c r="W49"/>
  <c r="AA49"/>
  <c r="AE49"/>
  <c r="AI49"/>
  <c r="AM49"/>
  <c r="AQ49"/>
  <c r="AU49"/>
  <c r="AY49"/>
  <c r="V49"/>
  <c r="AH49"/>
  <c r="AT49"/>
  <c r="V121"/>
  <c r="Z121"/>
  <c r="AD121"/>
  <c r="AH121"/>
  <c r="AL121"/>
  <c r="AP121"/>
  <c r="AT121"/>
  <c r="AX121"/>
  <c r="U121"/>
  <c r="Y121"/>
  <c r="AC121"/>
  <c r="AG121"/>
  <c r="AK121"/>
  <c r="AO121"/>
  <c r="AS121"/>
  <c r="AW121"/>
  <c r="BA121"/>
  <c r="AA121"/>
  <c r="AI121"/>
  <c r="AQ121"/>
  <c r="AY121"/>
  <c r="X121"/>
  <c r="AF121"/>
  <c r="AN121"/>
  <c r="AV121"/>
  <c r="W121"/>
  <c r="AE121"/>
  <c r="AM121"/>
  <c r="AU121"/>
  <c r="AR121"/>
  <c r="AZ121"/>
  <c r="AJ121"/>
  <c r="AB121"/>
  <c r="W164"/>
  <c r="AA164"/>
  <c r="AE164"/>
  <c r="AI164"/>
  <c r="AM164"/>
  <c r="AQ164"/>
  <c r="AU164"/>
  <c r="AY164"/>
  <c r="V164"/>
  <c r="Z164"/>
  <c r="AD164"/>
  <c r="AH164"/>
  <c r="AL164"/>
  <c r="AP164"/>
  <c r="AT164"/>
  <c r="AX164"/>
  <c r="X164"/>
  <c r="AB164"/>
  <c r="AF164"/>
  <c r="AJ164"/>
  <c r="AN164"/>
  <c r="AR164"/>
  <c r="AV164"/>
  <c r="AZ164"/>
  <c r="AC164"/>
  <c r="AS164"/>
  <c r="Y164"/>
  <c r="AO164"/>
  <c r="U164"/>
  <c r="AK164"/>
  <c r="BA164"/>
  <c r="AW164"/>
  <c r="AG164"/>
  <c r="X167"/>
  <c r="AB167"/>
  <c r="AF167"/>
  <c r="AJ167"/>
  <c r="AN167"/>
  <c r="AR167"/>
  <c r="AV167"/>
  <c r="AZ167"/>
  <c r="W167"/>
  <c r="AA167"/>
  <c r="AE167"/>
  <c r="AI167"/>
  <c r="AM167"/>
  <c r="AQ167"/>
  <c r="AU167"/>
  <c r="AY167"/>
  <c r="U167"/>
  <c r="Y167"/>
  <c r="AC167"/>
  <c r="AG167"/>
  <c r="AK167"/>
  <c r="AO167"/>
  <c r="AS167"/>
  <c r="AW167"/>
  <c r="BA167"/>
  <c r="AH167"/>
  <c r="AX167"/>
  <c r="AD167"/>
  <c r="AT167"/>
  <c r="Z167"/>
  <c r="AP167"/>
  <c r="AL167"/>
  <c r="V167"/>
  <c r="X41"/>
  <c r="AB41"/>
  <c r="AF41"/>
  <c r="AJ41"/>
  <c r="AN41"/>
  <c r="AR41"/>
  <c r="AV41"/>
  <c r="AZ41"/>
  <c r="U41"/>
  <c r="Z41"/>
  <c r="AE41"/>
  <c r="AK41"/>
  <c r="AP41"/>
  <c r="AU41"/>
  <c r="BA41"/>
  <c r="AA41"/>
  <c r="AQ41"/>
  <c r="Y41"/>
  <c r="AD41"/>
  <c r="AI41"/>
  <c r="AO41"/>
  <c r="AT41"/>
  <c r="AY41"/>
  <c r="AG41"/>
  <c r="AW41"/>
  <c r="W41"/>
  <c r="AC41"/>
  <c r="AH41"/>
  <c r="AM41"/>
  <c r="AS41"/>
  <c r="AX41"/>
  <c r="V41"/>
  <c r="AL41"/>
  <c r="V45"/>
  <c r="Z45"/>
  <c r="AD45"/>
  <c r="AH45"/>
  <c r="AL45"/>
  <c r="AP45"/>
  <c r="AT45"/>
  <c r="AX45"/>
  <c r="U45"/>
  <c r="AA45"/>
  <c r="AF45"/>
  <c r="AK45"/>
  <c r="AQ45"/>
  <c r="AV45"/>
  <c r="BA45"/>
  <c r="AB45"/>
  <c r="AR45"/>
  <c r="Y45"/>
  <c r="AE45"/>
  <c r="AJ45"/>
  <c r="AO45"/>
  <c r="AU45"/>
  <c r="AZ45"/>
  <c r="W45"/>
  <c r="AM45"/>
  <c r="X45"/>
  <c r="AC45"/>
  <c r="AI45"/>
  <c r="AN45"/>
  <c r="AS45"/>
  <c r="AY45"/>
  <c r="AG45"/>
  <c r="AW45"/>
  <c r="X48"/>
  <c r="AB48"/>
  <c r="AF48"/>
  <c r="AJ48"/>
  <c r="AN48"/>
  <c r="AR48"/>
  <c r="AV48"/>
  <c r="AZ48"/>
  <c r="Y48"/>
  <c r="AD48"/>
  <c r="AI48"/>
  <c r="AO48"/>
  <c r="AT48"/>
  <c r="AY48"/>
  <c r="Z48"/>
  <c r="AP48"/>
  <c r="W48"/>
  <c r="AC48"/>
  <c r="AH48"/>
  <c r="AM48"/>
  <c r="AS48"/>
  <c r="AX48"/>
  <c r="U48"/>
  <c r="AK48"/>
  <c r="BA48"/>
  <c r="V48"/>
  <c r="AA48"/>
  <c r="AG48"/>
  <c r="AL48"/>
  <c r="AQ48"/>
  <c r="AW48"/>
  <c r="AE48"/>
  <c r="AU48"/>
  <c r="U80"/>
  <c r="Y80"/>
  <c r="AC80"/>
  <c r="AG80"/>
  <c r="AK80"/>
  <c r="AO80"/>
  <c r="AS80"/>
  <c r="AW80"/>
  <c r="BA80"/>
  <c r="X80"/>
  <c r="AD80"/>
  <c r="AI80"/>
  <c r="AN80"/>
  <c r="AT80"/>
  <c r="AY80"/>
  <c r="AJ80"/>
  <c r="AZ80"/>
  <c r="W80"/>
  <c r="AB80"/>
  <c r="AH80"/>
  <c r="AM80"/>
  <c r="AR80"/>
  <c r="AX80"/>
  <c r="Z80"/>
  <c r="AP80"/>
  <c r="V80"/>
  <c r="AA80"/>
  <c r="AF80"/>
  <c r="AL80"/>
  <c r="AQ80"/>
  <c r="AV80"/>
  <c r="AE80"/>
  <c r="AU80"/>
  <c r="V101"/>
  <c r="Z101"/>
  <c r="AD101"/>
  <c r="AH101"/>
  <c r="AL101"/>
  <c r="AP101"/>
  <c r="AT101"/>
  <c r="AX101"/>
  <c r="U101"/>
  <c r="Y101"/>
  <c r="AC101"/>
  <c r="AG101"/>
  <c r="AK101"/>
  <c r="AO101"/>
  <c r="AS101"/>
  <c r="AW101"/>
  <c r="BA101"/>
  <c r="X101"/>
  <c r="AB101"/>
  <c r="AF101"/>
  <c r="AJ101"/>
  <c r="AN101"/>
  <c r="AR101"/>
  <c r="AV101"/>
  <c r="AZ101"/>
  <c r="W101"/>
  <c r="AM101"/>
  <c r="AQ101"/>
  <c r="AI101"/>
  <c r="AY101"/>
  <c r="AA101"/>
  <c r="AE101"/>
  <c r="AU101"/>
  <c r="V82"/>
  <c r="Z82"/>
  <c r="AD82"/>
  <c r="AH82"/>
  <c r="AL82"/>
  <c r="AP82"/>
  <c r="AT82"/>
  <c r="U82"/>
  <c r="Y82"/>
  <c r="AC82"/>
  <c r="AG82"/>
  <c r="AK82"/>
  <c r="AO82"/>
  <c r="AS82"/>
  <c r="AW82"/>
  <c r="BA82"/>
  <c r="X82"/>
  <c r="AB82"/>
  <c r="AF82"/>
  <c r="AJ82"/>
  <c r="AN82"/>
  <c r="AR82"/>
  <c r="AV82"/>
  <c r="AZ82"/>
  <c r="AA82"/>
  <c r="AQ82"/>
  <c r="AE82"/>
  <c r="W82"/>
  <c r="AM82"/>
  <c r="AU82"/>
  <c r="AI82"/>
  <c r="W116"/>
  <c r="AA116"/>
  <c r="AE116"/>
  <c r="AI116"/>
  <c r="AM116"/>
  <c r="AQ116"/>
  <c r="AU116"/>
  <c r="AY116"/>
  <c r="V116"/>
  <c r="Z116"/>
  <c r="AD116"/>
  <c r="AH116"/>
  <c r="AL116"/>
  <c r="AP116"/>
  <c r="AT116"/>
  <c r="AX116"/>
  <c r="U116"/>
  <c r="Y116"/>
  <c r="AC116"/>
  <c r="AG116"/>
  <c r="AK116"/>
  <c r="AO116"/>
  <c r="AS116"/>
  <c r="AW116"/>
  <c r="BA116"/>
  <c r="AF116"/>
  <c r="AV116"/>
  <c r="AB116"/>
  <c r="AR116"/>
  <c r="X116"/>
  <c r="AN116"/>
  <c r="AZ116"/>
  <c r="AJ116"/>
  <c r="U128"/>
  <c r="Y128"/>
  <c r="AC128"/>
  <c r="AG128"/>
  <c r="AK128"/>
  <c r="AO128"/>
  <c r="AS128"/>
  <c r="AW128"/>
  <c r="BA128"/>
  <c r="X128"/>
  <c r="AB128"/>
  <c r="AF128"/>
  <c r="AJ128"/>
  <c r="AN128"/>
  <c r="AR128"/>
  <c r="AV128"/>
  <c r="AZ128"/>
  <c r="W128"/>
  <c r="AA128"/>
  <c r="AE128"/>
  <c r="AI128"/>
  <c r="AM128"/>
  <c r="AQ128"/>
  <c r="AU128"/>
  <c r="AY128"/>
  <c r="AD128"/>
  <c r="AT128"/>
  <c r="Z128"/>
  <c r="AP128"/>
  <c r="V128"/>
  <c r="AL128"/>
  <c r="AX128"/>
  <c r="AH128"/>
  <c r="V169"/>
  <c r="Z169"/>
  <c r="AD169"/>
  <c r="AH169"/>
  <c r="AL169"/>
  <c r="AP169"/>
  <c r="AT169"/>
  <c r="AX169"/>
  <c r="U169"/>
  <c r="Y169"/>
  <c r="AC169"/>
  <c r="AG169"/>
  <c r="AK169"/>
  <c r="AO169"/>
  <c r="AS169"/>
  <c r="AW169"/>
  <c r="BA169"/>
  <c r="W169"/>
  <c r="AA169"/>
  <c r="AE169"/>
  <c r="AI169"/>
  <c r="AM169"/>
  <c r="AQ169"/>
  <c r="AU169"/>
  <c r="AY169"/>
  <c r="AF169"/>
  <c r="AV169"/>
  <c r="AB169"/>
  <c r="AR169"/>
  <c r="X169"/>
  <c r="AN169"/>
  <c r="AZ169"/>
  <c r="AJ169"/>
  <c r="W155"/>
  <c r="AA155"/>
  <c r="AE155"/>
  <c r="AI155"/>
  <c r="AM155"/>
  <c r="AQ155"/>
  <c r="AU155"/>
  <c r="AY155"/>
  <c r="V155"/>
  <c r="Z155"/>
  <c r="AD155"/>
  <c r="AH155"/>
  <c r="AL155"/>
  <c r="AP155"/>
  <c r="AT155"/>
  <c r="AX155"/>
  <c r="X155"/>
  <c r="AB155"/>
  <c r="AF155"/>
  <c r="AJ155"/>
  <c r="AN155"/>
  <c r="AR155"/>
  <c r="AV155"/>
  <c r="AZ155"/>
  <c r="AG155"/>
  <c r="AW155"/>
  <c r="AC155"/>
  <c r="AS155"/>
  <c r="Y155"/>
  <c r="AO155"/>
  <c r="AK155"/>
  <c r="U155"/>
  <c r="BA155"/>
  <c r="U168"/>
  <c r="Y168"/>
  <c r="AC168"/>
  <c r="AG168"/>
  <c r="AK168"/>
  <c r="AO168"/>
  <c r="AS168"/>
  <c r="AW168"/>
  <c r="BA168"/>
  <c r="X168"/>
  <c r="AB168"/>
  <c r="AF168"/>
  <c r="AJ168"/>
  <c r="AN168"/>
  <c r="AR168"/>
  <c r="AV168"/>
  <c r="AZ168"/>
  <c r="V168"/>
  <c r="Z168"/>
  <c r="AD168"/>
  <c r="AH168"/>
  <c r="AL168"/>
  <c r="AP168"/>
  <c r="AT168"/>
  <c r="AX168"/>
  <c r="W168"/>
  <c r="AM168"/>
  <c r="AI168"/>
  <c r="AY168"/>
  <c r="AE168"/>
  <c r="AU168"/>
  <c r="AQ168"/>
  <c r="AA168"/>
  <c r="X151"/>
  <c r="AB151"/>
  <c r="AF151"/>
  <c r="AJ151"/>
  <c r="AN151"/>
  <c r="AV151"/>
  <c r="AZ151"/>
  <c r="W151"/>
  <c r="AA151"/>
  <c r="AE151"/>
  <c r="AI151"/>
  <c r="AM151"/>
  <c r="AU151"/>
  <c r="AY151"/>
  <c r="U151"/>
  <c r="Y151"/>
  <c r="AC151"/>
  <c r="AG151"/>
  <c r="AK151"/>
  <c r="AO151"/>
  <c r="AS151"/>
  <c r="AW151"/>
  <c r="BA151"/>
  <c r="AD151"/>
  <c r="AT151"/>
  <c r="Z151"/>
  <c r="AP151"/>
  <c r="V151"/>
  <c r="AL151"/>
  <c r="AX151"/>
  <c r="AH151"/>
  <c r="X172"/>
  <c r="AB172"/>
  <c r="AF172"/>
  <c r="AJ172"/>
  <c r="AN172"/>
  <c r="AR172"/>
  <c r="AV172"/>
  <c r="AZ172"/>
  <c r="W172"/>
  <c r="AA172"/>
  <c r="AE172"/>
  <c r="AI172"/>
  <c r="AM172"/>
  <c r="AQ172"/>
  <c r="AU172"/>
  <c r="AY172"/>
  <c r="U172"/>
  <c r="Y172"/>
  <c r="AC172"/>
  <c r="AG172"/>
  <c r="AK172"/>
  <c r="AO172"/>
  <c r="AS172"/>
  <c r="AW172"/>
  <c r="BA172"/>
  <c r="V172"/>
  <c r="AL172"/>
  <c r="AH172"/>
  <c r="AX172"/>
  <c r="AD172"/>
  <c r="AT172"/>
  <c r="AP172"/>
  <c r="Z172"/>
  <c r="V162"/>
  <c r="Z162"/>
  <c r="AD162"/>
  <c r="AH162"/>
  <c r="AL162"/>
  <c r="AP162"/>
  <c r="AT162"/>
  <c r="AX162"/>
  <c r="U162"/>
  <c r="Y162"/>
  <c r="AC162"/>
  <c r="AG162"/>
  <c r="AK162"/>
  <c r="AO162"/>
  <c r="AS162"/>
  <c r="AW162"/>
  <c r="BA162"/>
  <c r="W162"/>
  <c r="AA162"/>
  <c r="AE162"/>
  <c r="AI162"/>
  <c r="AM162"/>
  <c r="AQ162"/>
  <c r="AU162"/>
  <c r="AY162"/>
  <c r="X162"/>
  <c r="AN162"/>
  <c r="AJ162"/>
  <c r="AZ162"/>
  <c r="AF162"/>
  <c r="AV162"/>
  <c r="AR162"/>
  <c r="AB162"/>
  <c r="W60"/>
  <c r="AA60"/>
  <c r="AE60"/>
  <c r="AI60"/>
  <c r="AM60"/>
  <c r="AQ60"/>
  <c r="AU60"/>
  <c r="AY60"/>
  <c r="X60"/>
  <c r="AC60"/>
  <c r="AH60"/>
  <c r="AN60"/>
  <c r="AS60"/>
  <c r="AX60"/>
  <c r="AJ60"/>
  <c r="V60"/>
  <c r="AB60"/>
  <c r="AG60"/>
  <c r="AL60"/>
  <c r="AR60"/>
  <c r="AW60"/>
  <c r="AD60"/>
  <c r="AT60"/>
  <c r="U60"/>
  <c r="Z60"/>
  <c r="AF60"/>
  <c r="AK60"/>
  <c r="AP60"/>
  <c r="AV60"/>
  <c r="BA60"/>
  <c r="Y60"/>
  <c r="AO60"/>
  <c r="AZ60"/>
  <c r="W43"/>
  <c r="AA43"/>
  <c r="AE43"/>
  <c r="AI43"/>
  <c r="AM43"/>
  <c r="AQ43"/>
  <c r="AU43"/>
  <c r="AY43"/>
  <c r="Y43"/>
  <c r="AD43"/>
  <c r="AJ43"/>
  <c r="AO43"/>
  <c r="AT43"/>
  <c r="AZ43"/>
  <c r="Z43"/>
  <c r="AV43"/>
  <c r="X43"/>
  <c r="AC43"/>
  <c r="AH43"/>
  <c r="AN43"/>
  <c r="AS43"/>
  <c r="AX43"/>
  <c r="AF43"/>
  <c r="AP43"/>
  <c r="V43"/>
  <c r="AB43"/>
  <c r="AG43"/>
  <c r="AL43"/>
  <c r="AR43"/>
  <c r="AW43"/>
  <c r="U43"/>
  <c r="AK43"/>
  <c r="BA43"/>
  <c r="X99"/>
  <c r="AB99"/>
  <c r="AF99"/>
  <c r="AJ99"/>
  <c r="AN99"/>
  <c r="AR99"/>
  <c r="AV99"/>
  <c r="AZ99"/>
  <c r="W99"/>
  <c r="AA99"/>
  <c r="AE99"/>
  <c r="AI99"/>
  <c r="AM99"/>
  <c r="AQ99"/>
  <c r="AU99"/>
  <c r="AY99"/>
  <c r="V99"/>
  <c r="Z99"/>
  <c r="AD99"/>
  <c r="AH99"/>
  <c r="AL99"/>
  <c r="AP99"/>
  <c r="AT99"/>
  <c r="AX99"/>
  <c r="Y99"/>
  <c r="AO99"/>
  <c r="AC99"/>
  <c r="U99"/>
  <c r="AK99"/>
  <c r="BA99"/>
  <c r="AS99"/>
  <c r="AG99"/>
  <c r="AW99"/>
  <c r="U122"/>
  <c r="Y122"/>
  <c r="AC122"/>
  <c r="AG122"/>
  <c r="AK122"/>
  <c r="AO122"/>
  <c r="AS122"/>
  <c r="AW122"/>
  <c r="BA122"/>
  <c r="X122"/>
  <c r="AB122"/>
  <c r="AF122"/>
  <c r="AJ122"/>
  <c r="AN122"/>
  <c r="AR122"/>
  <c r="AV122"/>
  <c r="AZ122"/>
  <c r="Z122"/>
  <c r="AH122"/>
  <c r="AP122"/>
  <c r="AX122"/>
  <c r="W122"/>
  <c r="AE122"/>
  <c r="AM122"/>
  <c r="AU122"/>
  <c r="V122"/>
  <c r="AD122"/>
  <c r="AL122"/>
  <c r="AT122"/>
  <c r="AY122"/>
  <c r="AA122"/>
  <c r="AQ122"/>
  <c r="AI122"/>
  <c r="V157"/>
  <c r="Z157"/>
  <c r="AD157"/>
  <c r="AH157"/>
  <c r="AL157"/>
  <c r="AP157"/>
  <c r="AT157"/>
  <c r="AX157"/>
  <c r="U157"/>
  <c r="Y157"/>
  <c r="AC157"/>
  <c r="AG157"/>
  <c r="AK157"/>
  <c r="AO157"/>
  <c r="AS157"/>
  <c r="AW157"/>
  <c r="BA157"/>
  <c r="W157"/>
  <c r="AA157"/>
  <c r="AI157"/>
  <c r="AM157"/>
  <c r="AU157"/>
  <c r="AY157"/>
  <c r="AB157"/>
  <c r="X157"/>
  <c r="AN157"/>
  <c r="AJ157"/>
  <c r="AZ157"/>
  <c r="AV157"/>
  <c r="X148"/>
  <c r="AB148"/>
  <c r="AF148"/>
  <c r="AJ148"/>
  <c r="AN148"/>
  <c r="AR148"/>
  <c r="AV148"/>
  <c r="AZ148"/>
  <c r="W148"/>
  <c r="AA148"/>
  <c r="AE148"/>
  <c r="AI148"/>
  <c r="AM148"/>
  <c r="AQ148"/>
  <c r="AU148"/>
  <c r="AY148"/>
  <c r="U148"/>
  <c r="Y148"/>
  <c r="AC148"/>
  <c r="AG148"/>
  <c r="AK148"/>
  <c r="AO148"/>
  <c r="AS148"/>
  <c r="AW148"/>
  <c r="BA148"/>
  <c r="AD148"/>
  <c r="AT148"/>
  <c r="Z148"/>
  <c r="AP148"/>
  <c r="V148"/>
  <c r="AL148"/>
  <c r="AX148"/>
  <c r="AH148"/>
  <c r="X165"/>
  <c r="AB165"/>
  <c r="AF165"/>
  <c r="AJ165"/>
  <c r="AN165"/>
  <c r="AR165"/>
  <c r="AV165"/>
  <c r="AZ165"/>
  <c r="W165"/>
  <c r="AA165"/>
  <c r="AE165"/>
  <c r="AI165"/>
  <c r="AM165"/>
  <c r="AQ165"/>
  <c r="AU165"/>
  <c r="AY165"/>
  <c r="U165"/>
  <c r="Y165"/>
  <c r="AC165"/>
  <c r="AG165"/>
  <c r="AK165"/>
  <c r="AO165"/>
  <c r="AS165"/>
  <c r="AW165"/>
  <c r="BA165"/>
  <c r="Z165"/>
  <c r="AP165"/>
  <c r="V165"/>
  <c r="AL165"/>
  <c r="AH165"/>
  <c r="AX165"/>
  <c r="AT165"/>
  <c r="AD165"/>
  <c r="X161"/>
  <c r="AB161"/>
  <c r="AF161"/>
  <c r="AJ161"/>
  <c r="AN161"/>
  <c r="AR161"/>
  <c r="AV161"/>
  <c r="AZ161"/>
  <c r="W161"/>
  <c r="AA161"/>
  <c r="AE161"/>
  <c r="AI161"/>
  <c r="AM161"/>
  <c r="AQ161"/>
  <c r="AU161"/>
  <c r="AY161"/>
  <c r="U161"/>
  <c r="Y161"/>
  <c r="AC161"/>
  <c r="AG161"/>
  <c r="AK161"/>
  <c r="AO161"/>
  <c r="AS161"/>
  <c r="AW161"/>
  <c r="BA161"/>
  <c r="Z161"/>
  <c r="AP161"/>
  <c r="V161"/>
  <c r="AL161"/>
  <c r="AH161"/>
  <c r="AX161"/>
  <c r="AT161"/>
  <c r="AD161"/>
  <c r="U147"/>
  <c r="Y147"/>
  <c r="AC147"/>
  <c r="AG147"/>
  <c r="AK147"/>
  <c r="AO147"/>
  <c r="AS147"/>
  <c r="AW147"/>
  <c r="BA147"/>
  <c r="X147"/>
  <c r="AB147"/>
  <c r="AF147"/>
  <c r="AJ147"/>
  <c r="AN147"/>
  <c r="AR147"/>
  <c r="AV147"/>
  <c r="AZ147"/>
  <c r="V147"/>
  <c r="Z147"/>
  <c r="AD147"/>
  <c r="AH147"/>
  <c r="AL147"/>
  <c r="AP147"/>
  <c r="AT147"/>
  <c r="AX147"/>
  <c r="AA147"/>
  <c r="AQ147"/>
  <c r="W147"/>
  <c r="AM147"/>
  <c r="AI147"/>
  <c r="AY147"/>
  <c r="AE147"/>
  <c r="AU147"/>
  <c r="U51"/>
  <c r="Y51"/>
  <c r="AC51"/>
  <c r="AG51"/>
  <c r="AK51"/>
  <c r="AO51"/>
  <c r="AW51"/>
  <c r="BA51"/>
  <c r="V51"/>
  <c r="AA51"/>
  <c r="AF51"/>
  <c r="AL51"/>
  <c r="AV51"/>
  <c r="W51"/>
  <c r="Z51"/>
  <c r="AE51"/>
  <c r="AJ51"/>
  <c r="AP51"/>
  <c r="AU51"/>
  <c r="AZ51"/>
  <c r="AH51"/>
  <c r="AX51"/>
  <c r="X51"/>
  <c r="AD51"/>
  <c r="AI51"/>
  <c r="AN51"/>
  <c r="AT51"/>
  <c r="AY51"/>
  <c r="AB51"/>
  <c r="AM51"/>
  <c r="V57"/>
  <c r="Z57"/>
  <c r="AD57"/>
  <c r="AH57"/>
  <c r="AL57"/>
  <c r="AP57"/>
  <c r="AT57"/>
  <c r="AX57"/>
  <c r="W57"/>
  <c r="AB57"/>
  <c r="AG57"/>
  <c r="AM57"/>
  <c r="AR57"/>
  <c r="AW57"/>
  <c r="AI57"/>
  <c r="U57"/>
  <c r="AA57"/>
  <c r="AF57"/>
  <c r="AK57"/>
  <c r="AQ57"/>
  <c r="AV57"/>
  <c r="BA57"/>
  <c r="X57"/>
  <c r="AN57"/>
  <c r="AY57"/>
  <c r="Y57"/>
  <c r="AE57"/>
  <c r="AJ57"/>
  <c r="AO57"/>
  <c r="AU57"/>
  <c r="AZ57"/>
  <c r="AC57"/>
  <c r="AS57"/>
  <c r="U102"/>
  <c r="Y102"/>
  <c r="AC102"/>
  <c r="AG102"/>
  <c r="AK102"/>
  <c r="AO102"/>
  <c r="AS102"/>
  <c r="AW102"/>
  <c r="BA102"/>
  <c r="Z102"/>
  <c r="AE102"/>
  <c r="AJ102"/>
  <c r="AP102"/>
  <c r="AU102"/>
  <c r="AZ102"/>
  <c r="V102"/>
  <c r="AV102"/>
  <c r="X102"/>
  <c r="AD102"/>
  <c r="AI102"/>
  <c r="AN102"/>
  <c r="AT102"/>
  <c r="AY102"/>
  <c r="AF102"/>
  <c r="AQ102"/>
  <c r="W102"/>
  <c r="AB102"/>
  <c r="AH102"/>
  <c r="AM102"/>
  <c r="AR102"/>
  <c r="AX102"/>
  <c r="AA102"/>
  <c r="AL102"/>
  <c r="X85"/>
  <c r="AB85"/>
  <c r="AF85"/>
  <c r="AJ85"/>
  <c r="AN85"/>
  <c r="AR85"/>
  <c r="AV85"/>
  <c r="AZ85"/>
  <c r="W85"/>
  <c r="AC85"/>
  <c r="AH85"/>
  <c r="AM85"/>
  <c r="AS85"/>
  <c r="AX85"/>
  <c r="AI85"/>
  <c r="AO85"/>
  <c r="V85"/>
  <c r="AA85"/>
  <c r="AG85"/>
  <c r="AL85"/>
  <c r="AQ85"/>
  <c r="AW85"/>
  <c r="Y85"/>
  <c r="AY85"/>
  <c r="U85"/>
  <c r="Z85"/>
  <c r="AE85"/>
  <c r="AK85"/>
  <c r="AP85"/>
  <c r="AU85"/>
  <c r="BA85"/>
  <c r="AD85"/>
  <c r="AT85"/>
  <c r="W118"/>
  <c r="AA118"/>
  <c r="AE118"/>
  <c r="AI118"/>
  <c r="AM118"/>
  <c r="AQ118"/>
  <c r="AU118"/>
  <c r="AY118"/>
  <c r="V118"/>
  <c r="Z118"/>
  <c r="AD118"/>
  <c r="AH118"/>
  <c r="AL118"/>
  <c r="AP118"/>
  <c r="AT118"/>
  <c r="AX118"/>
  <c r="U118"/>
  <c r="Y118"/>
  <c r="AC118"/>
  <c r="AG118"/>
  <c r="AK118"/>
  <c r="AO118"/>
  <c r="AS118"/>
  <c r="AW118"/>
  <c r="BA118"/>
  <c r="AF118"/>
  <c r="AV118"/>
  <c r="AJ118"/>
  <c r="AZ118"/>
  <c r="AB118"/>
  <c r="AR118"/>
  <c r="X118"/>
  <c r="AN118"/>
  <c r="W125"/>
  <c r="AA125"/>
  <c r="AE125"/>
  <c r="AI125"/>
  <c r="AM125"/>
  <c r="AQ125"/>
  <c r="AU125"/>
  <c r="AY125"/>
  <c r="V125"/>
  <c r="Z125"/>
  <c r="AD125"/>
  <c r="AH125"/>
  <c r="AL125"/>
  <c r="AP125"/>
  <c r="AT125"/>
  <c r="AX125"/>
  <c r="X125"/>
  <c r="AF125"/>
  <c r="AN125"/>
  <c r="AV125"/>
  <c r="U125"/>
  <c r="AC125"/>
  <c r="AK125"/>
  <c r="AS125"/>
  <c r="BA125"/>
  <c r="AB125"/>
  <c r="AJ125"/>
  <c r="AR125"/>
  <c r="AZ125"/>
  <c r="AO125"/>
  <c r="AG125"/>
  <c r="Y125"/>
  <c r="AW125"/>
  <c r="W153"/>
  <c r="AA153"/>
  <c r="AE153"/>
  <c r="AI153"/>
  <c r="AM153"/>
  <c r="AU153"/>
  <c r="AY153"/>
  <c r="V153"/>
  <c r="Z153"/>
  <c r="AD153"/>
  <c r="AH153"/>
  <c r="AL153"/>
  <c r="AP153"/>
  <c r="AT153"/>
  <c r="AX153"/>
  <c r="X153"/>
  <c r="AB153"/>
  <c r="AJ153"/>
  <c r="AN153"/>
  <c r="AV153"/>
  <c r="AZ153"/>
  <c r="AC153"/>
  <c r="AS153"/>
  <c r="Y153"/>
  <c r="AO153"/>
  <c r="U153"/>
  <c r="AK153"/>
  <c r="BA153"/>
  <c r="AW153"/>
  <c r="W163"/>
  <c r="AA163"/>
  <c r="AE163"/>
  <c r="AI163"/>
  <c r="AM163"/>
  <c r="AQ163"/>
  <c r="AU163"/>
  <c r="AY163"/>
  <c r="V163"/>
  <c r="Z163"/>
  <c r="AD163"/>
  <c r="AH163"/>
  <c r="AL163"/>
  <c r="AP163"/>
  <c r="AT163"/>
  <c r="AX163"/>
  <c r="X163"/>
  <c r="AB163"/>
  <c r="AF163"/>
  <c r="AJ163"/>
  <c r="AN163"/>
  <c r="AR163"/>
  <c r="AV163"/>
  <c r="AZ163"/>
  <c r="Y163"/>
  <c r="AO163"/>
  <c r="U163"/>
  <c r="AK163"/>
  <c r="BA163"/>
  <c r="AG163"/>
  <c r="AW163"/>
  <c r="AC163"/>
  <c r="AS163"/>
  <c r="U150"/>
  <c r="Y150"/>
  <c r="AC150"/>
  <c r="AG150"/>
  <c r="AK150"/>
  <c r="AO150"/>
  <c r="AS150"/>
  <c r="AW150"/>
  <c r="BA150"/>
  <c r="X150"/>
  <c r="AB150"/>
  <c r="AF150"/>
  <c r="AJ150"/>
  <c r="AN150"/>
  <c r="AR150"/>
  <c r="AV150"/>
  <c r="AZ150"/>
  <c r="V150"/>
  <c r="Z150"/>
  <c r="AD150"/>
  <c r="AH150"/>
  <c r="AL150"/>
  <c r="AP150"/>
  <c r="AT150"/>
  <c r="AX150"/>
  <c r="AI150"/>
  <c r="AY150"/>
  <c r="AE150"/>
  <c r="AU150"/>
  <c r="AA150"/>
  <c r="AQ150"/>
  <c r="W150"/>
  <c r="AM150"/>
  <c r="X146"/>
  <c r="AB146"/>
  <c r="AF146"/>
  <c r="AJ146"/>
  <c r="AN146"/>
  <c r="AR146"/>
  <c r="AV146"/>
  <c r="AZ146"/>
  <c r="W146"/>
  <c r="AA146"/>
  <c r="AE146"/>
  <c r="AI146"/>
  <c r="AM146"/>
  <c r="AQ146"/>
  <c r="AU146"/>
  <c r="AY146"/>
  <c r="U146"/>
  <c r="Y146"/>
  <c r="AC146"/>
  <c r="AG146"/>
  <c r="AK146"/>
  <c r="AO146"/>
  <c r="AS146"/>
  <c r="AW146"/>
  <c r="BA146"/>
  <c r="AH146"/>
  <c r="AX146"/>
  <c r="AD146"/>
  <c r="AT146"/>
  <c r="Z146"/>
  <c r="AP146"/>
  <c r="AL146"/>
  <c r="V146"/>
  <c r="W52"/>
  <c r="AA52"/>
  <c r="AE52"/>
  <c r="AI52"/>
  <c r="AM52"/>
  <c r="AU52"/>
  <c r="AY52"/>
  <c r="U52"/>
  <c r="Z52"/>
  <c r="AF52"/>
  <c r="AK52"/>
  <c r="AP52"/>
  <c r="AV52"/>
  <c r="BA52"/>
  <c r="V52"/>
  <c r="Y52"/>
  <c r="AD52"/>
  <c r="AJ52"/>
  <c r="AO52"/>
  <c r="AT52"/>
  <c r="AZ52"/>
  <c r="AB52"/>
  <c r="AL52"/>
  <c r="X52"/>
  <c r="AC52"/>
  <c r="AH52"/>
  <c r="AN52"/>
  <c r="AS52"/>
  <c r="AX52"/>
  <c r="AG52"/>
  <c r="AW52"/>
  <c r="V66"/>
  <c r="Z66"/>
  <c r="AD66"/>
  <c r="AH66"/>
  <c r="AL66"/>
  <c r="AP66"/>
  <c r="AT66"/>
  <c r="AX66"/>
  <c r="W66"/>
  <c r="AM66"/>
  <c r="AY66"/>
  <c r="U66"/>
  <c r="Y66"/>
  <c r="AC66"/>
  <c r="AG66"/>
  <c r="AK66"/>
  <c r="AO66"/>
  <c r="AS66"/>
  <c r="AW66"/>
  <c r="BA66"/>
  <c r="AA66"/>
  <c r="AI66"/>
  <c r="AU66"/>
  <c r="X66"/>
  <c r="AB66"/>
  <c r="AF66"/>
  <c r="AJ66"/>
  <c r="AN66"/>
  <c r="AR66"/>
  <c r="AV66"/>
  <c r="AZ66"/>
  <c r="AE66"/>
  <c r="AQ66"/>
  <c r="V59"/>
  <c r="Z59"/>
  <c r="AD59"/>
  <c r="AH59"/>
  <c r="AL59"/>
  <c r="AP59"/>
  <c r="AT59"/>
  <c r="AX59"/>
  <c r="Y59"/>
  <c r="AE59"/>
  <c r="AJ59"/>
  <c r="AO59"/>
  <c r="AU59"/>
  <c r="AZ59"/>
  <c r="AF59"/>
  <c r="AQ59"/>
  <c r="BA59"/>
  <c r="X59"/>
  <c r="AC59"/>
  <c r="AI59"/>
  <c r="AN59"/>
  <c r="AS59"/>
  <c r="AY59"/>
  <c r="U59"/>
  <c r="AK59"/>
  <c r="W59"/>
  <c r="AB59"/>
  <c r="AG59"/>
  <c r="AM59"/>
  <c r="AR59"/>
  <c r="AW59"/>
  <c r="AA59"/>
  <c r="AV59"/>
  <c r="W89"/>
  <c r="AA89"/>
  <c r="AE89"/>
  <c r="AI89"/>
  <c r="AM89"/>
  <c r="AU89"/>
  <c r="AY89"/>
  <c r="V89"/>
  <c r="AB89"/>
  <c r="AG89"/>
  <c r="AL89"/>
  <c r="AW89"/>
  <c r="X89"/>
  <c r="AN89"/>
  <c r="U89"/>
  <c r="Z89"/>
  <c r="AF89"/>
  <c r="AK89"/>
  <c r="AP89"/>
  <c r="AV89"/>
  <c r="BA89"/>
  <c r="AH89"/>
  <c r="AS89"/>
  <c r="Y89"/>
  <c r="AD89"/>
  <c r="AJ89"/>
  <c r="AO89"/>
  <c r="AT89"/>
  <c r="AZ89"/>
  <c r="AC89"/>
  <c r="AX89"/>
  <c r="X90"/>
  <c r="AB90"/>
  <c r="AF90"/>
  <c r="AJ90"/>
  <c r="AN90"/>
  <c r="AR90"/>
  <c r="AV90"/>
  <c r="AZ90"/>
  <c r="Y90"/>
  <c r="AD90"/>
  <c r="AI90"/>
  <c r="AO90"/>
  <c r="AT90"/>
  <c r="AY90"/>
  <c r="AP90"/>
  <c r="W90"/>
  <c r="AC90"/>
  <c r="AH90"/>
  <c r="AM90"/>
  <c r="AS90"/>
  <c r="AX90"/>
  <c r="Z90"/>
  <c r="AK90"/>
  <c r="AU90"/>
  <c r="V90"/>
  <c r="AA90"/>
  <c r="AG90"/>
  <c r="AL90"/>
  <c r="AQ90"/>
  <c r="AW90"/>
  <c r="U90"/>
  <c r="AE90"/>
  <c r="BA90"/>
  <c r="W100"/>
  <c r="AA100"/>
  <c r="AE100"/>
  <c r="AI100"/>
  <c r="AM100"/>
  <c r="AQ100"/>
  <c r="AU100"/>
  <c r="AY100"/>
  <c r="V100"/>
  <c r="Z100"/>
  <c r="AD100"/>
  <c r="AH100"/>
  <c r="AL100"/>
  <c r="AP100"/>
  <c r="AT100"/>
  <c r="AX100"/>
  <c r="U100"/>
  <c r="Y100"/>
  <c r="AC100"/>
  <c r="AG100"/>
  <c r="AK100"/>
  <c r="AO100"/>
  <c r="AS100"/>
  <c r="AW100"/>
  <c r="BA100"/>
  <c r="X100"/>
  <c r="AN100"/>
  <c r="AB100"/>
  <c r="AR100"/>
  <c r="AJ100"/>
  <c r="AZ100"/>
  <c r="AF100"/>
  <c r="AV100"/>
  <c r="U133"/>
  <c r="Y133"/>
  <c r="AC133"/>
  <c r="AG133"/>
  <c r="X133"/>
  <c r="AB133"/>
  <c r="Z133"/>
  <c r="AF133"/>
  <c r="AK133"/>
  <c r="AO133"/>
  <c r="AS133"/>
  <c r="AW133"/>
  <c r="BA133"/>
  <c r="W133"/>
  <c r="AE133"/>
  <c r="AJ133"/>
  <c r="AN133"/>
  <c r="AR133"/>
  <c r="AV133"/>
  <c r="AZ133"/>
  <c r="V133"/>
  <c r="AD133"/>
  <c r="AI133"/>
  <c r="AM133"/>
  <c r="AQ133"/>
  <c r="AU133"/>
  <c r="AY133"/>
  <c r="AH133"/>
  <c r="AX133"/>
  <c r="AL133"/>
  <c r="AA133"/>
  <c r="AT133"/>
  <c r="AP133"/>
  <c r="X127"/>
  <c r="AB127"/>
  <c r="AF127"/>
  <c r="AJ127"/>
  <c r="AN127"/>
  <c r="AR127"/>
  <c r="AV127"/>
  <c r="AZ127"/>
  <c r="W127"/>
  <c r="AA127"/>
  <c r="AE127"/>
  <c r="AI127"/>
  <c r="AM127"/>
  <c r="AQ127"/>
  <c r="AU127"/>
  <c r="AY127"/>
  <c r="V127"/>
  <c r="Z127"/>
  <c r="AD127"/>
  <c r="AH127"/>
  <c r="AL127"/>
  <c r="AP127"/>
  <c r="AT127"/>
  <c r="AX127"/>
  <c r="AC127"/>
  <c r="AS127"/>
  <c r="Y127"/>
  <c r="AO127"/>
  <c r="U127"/>
  <c r="AK127"/>
  <c r="BA127"/>
  <c r="AG127"/>
  <c r="AW127"/>
  <c r="V171"/>
  <c r="Z171"/>
  <c r="AD171"/>
  <c r="AH171"/>
  <c r="AL171"/>
  <c r="AP171"/>
  <c r="AT171"/>
  <c r="AX171"/>
  <c r="U171"/>
  <c r="Y171"/>
  <c r="AC171"/>
  <c r="AG171"/>
  <c r="AK171"/>
  <c r="AO171"/>
  <c r="AS171"/>
  <c r="AW171"/>
  <c r="BA171"/>
  <c r="W171"/>
  <c r="AA171"/>
  <c r="AE171"/>
  <c r="AI171"/>
  <c r="AM171"/>
  <c r="AQ171"/>
  <c r="AU171"/>
  <c r="AY171"/>
  <c r="AJ171"/>
  <c r="AZ171"/>
  <c r="AF171"/>
  <c r="AV171"/>
  <c r="AB171"/>
  <c r="AR171"/>
  <c r="AN171"/>
  <c r="X171"/>
  <c r="U159"/>
  <c r="Y159"/>
  <c r="AC159"/>
  <c r="AG159"/>
  <c r="AK159"/>
  <c r="AO159"/>
  <c r="AS159"/>
  <c r="AW159"/>
  <c r="BA159"/>
  <c r="X159"/>
  <c r="AB159"/>
  <c r="AF159"/>
  <c r="AJ159"/>
  <c r="AN159"/>
  <c r="AV159"/>
  <c r="AZ159"/>
  <c r="V159"/>
  <c r="Z159"/>
  <c r="AD159"/>
  <c r="AH159"/>
  <c r="AL159"/>
  <c r="AP159"/>
  <c r="AT159"/>
  <c r="AX159"/>
  <c r="W159"/>
  <c r="AM159"/>
  <c r="AI159"/>
  <c r="AY159"/>
  <c r="AE159"/>
  <c r="AU159"/>
  <c r="AA159"/>
  <c r="W166"/>
  <c r="AA166"/>
  <c r="AE166"/>
  <c r="AI166"/>
  <c r="AM166"/>
  <c r="AQ166"/>
  <c r="AU166"/>
  <c r="AY166"/>
  <c r="V166"/>
  <c r="Z166"/>
  <c r="AD166"/>
  <c r="AH166"/>
  <c r="AL166"/>
  <c r="AP166"/>
  <c r="AT166"/>
  <c r="AX166"/>
  <c r="X166"/>
  <c r="AB166"/>
  <c r="AF166"/>
  <c r="AJ166"/>
  <c r="AN166"/>
  <c r="AR166"/>
  <c r="AV166"/>
  <c r="AZ166"/>
  <c r="U166"/>
  <c r="AK166"/>
  <c r="BA166"/>
  <c r="AG166"/>
  <c r="AW166"/>
  <c r="AC166"/>
  <c r="AS166"/>
  <c r="AO166"/>
  <c r="Y166"/>
  <c r="V94"/>
  <c r="W94"/>
  <c r="AA94"/>
  <c r="AE94"/>
  <c r="AI94"/>
  <c r="AM94"/>
  <c r="AQ94"/>
  <c r="AU94"/>
  <c r="AY94"/>
  <c r="AP94"/>
  <c r="Y94"/>
  <c r="AG94"/>
  <c r="AO94"/>
  <c r="AW94"/>
  <c r="X94"/>
  <c r="AJ94"/>
  <c r="AR94"/>
  <c r="AZ94"/>
  <c r="U94"/>
  <c r="Z94"/>
  <c r="AD94"/>
  <c r="AH94"/>
  <c r="AL94"/>
  <c r="AT94"/>
  <c r="AX94"/>
  <c r="AC94"/>
  <c r="AK94"/>
  <c r="AS94"/>
  <c r="BA94"/>
  <c r="AB94"/>
  <c r="AF94"/>
  <c r="AN94"/>
  <c r="AV94"/>
  <c r="AW4"/>
  <c r="BA4"/>
  <c r="BA31" s="1"/>
  <c r="AK4"/>
  <c r="AO4"/>
  <c r="AS4"/>
  <c r="X4"/>
  <c r="AB4"/>
  <c r="AV4"/>
  <c r="AZ4"/>
  <c r="AJ4"/>
  <c r="AN4"/>
  <c r="W4"/>
  <c r="AA4"/>
  <c r="AU4"/>
  <c r="AY4"/>
  <c r="AI4"/>
  <c r="AM4"/>
  <c r="V4"/>
  <c r="Z4"/>
  <c r="AD4"/>
  <c r="AX4"/>
  <c r="AH4"/>
  <c r="Y4"/>
  <c r="AT4"/>
  <c r="U4"/>
  <c r="AL4"/>
  <c r="AC4"/>
  <c r="AP4"/>
  <c r="AG4"/>
  <c r="AV12"/>
  <c r="AH12"/>
  <c r="AL12"/>
  <c r="AP12"/>
  <c r="AT12"/>
  <c r="U12"/>
  <c r="Y12"/>
  <c r="AC12"/>
  <c r="AG12"/>
  <c r="AU12"/>
  <c r="AO12"/>
  <c r="AS12"/>
  <c r="X12"/>
  <c r="AB12"/>
  <c r="AF12"/>
  <c r="AX12"/>
  <c r="AN12"/>
  <c r="AR12"/>
  <c r="W12"/>
  <c r="AA12"/>
  <c r="AE12"/>
  <c r="V12"/>
  <c r="AW12"/>
  <c r="AQ12"/>
  <c r="AM12"/>
  <c r="AD12"/>
  <c r="AI12"/>
  <c r="Z12"/>
  <c r="AV25"/>
  <c r="AH25"/>
  <c r="AL25"/>
  <c r="AP25"/>
  <c r="AT25"/>
  <c r="U25"/>
  <c r="Y25"/>
  <c r="AC25"/>
  <c r="AG25"/>
  <c r="AU25"/>
  <c r="AK25"/>
  <c r="AO25"/>
  <c r="AS25"/>
  <c r="X25"/>
  <c r="AB25"/>
  <c r="AF25"/>
  <c r="AW25"/>
  <c r="AX25"/>
  <c r="AJ25"/>
  <c r="AN25"/>
  <c r="AR25"/>
  <c r="W25"/>
  <c r="AA25"/>
  <c r="AE25"/>
  <c r="V25"/>
  <c r="AQ25"/>
  <c r="AI25"/>
  <c r="AM25"/>
  <c r="AD25"/>
  <c r="Z25"/>
  <c r="I124"/>
  <c r="K124" s="1"/>
  <c r="I115"/>
  <c r="K115" s="1"/>
  <c r="I122"/>
  <c r="I116"/>
  <c r="K116" s="1"/>
  <c r="I121"/>
  <c r="K121" s="1"/>
  <c r="BA32" l="1"/>
  <c r="AD32"/>
  <c r="AD31"/>
  <c r="V32"/>
  <c r="V31"/>
  <c r="AR31"/>
  <c r="AR32"/>
  <c r="AF31"/>
  <c r="AF32"/>
  <c r="AO31"/>
  <c r="AO32"/>
  <c r="AT32"/>
  <c r="AT31"/>
  <c r="AZ31"/>
  <c r="AZ32"/>
  <c r="AI31"/>
  <c r="AI32"/>
  <c r="AW31"/>
  <c r="AW32"/>
  <c r="AX32"/>
  <c r="AX31"/>
  <c r="AU32"/>
  <c r="AU31"/>
  <c r="AH32"/>
  <c r="AH31"/>
  <c r="AM32"/>
  <c r="AM31"/>
  <c r="AE31"/>
  <c r="AE32"/>
  <c r="AN31"/>
  <c r="AN32"/>
  <c r="AB32"/>
  <c r="AB31"/>
  <c r="AK32"/>
  <c r="AK31"/>
  <c r="AC32"/>
  <c r="AC31"/>
  <c r="AP32"/>
  <c r="AP31"/>
  <c r="AV31"/>
  <c r="AV32"/>
  <c r="AG31"/>
  <c r="AG32"/>
  <c r="W31"/>
  <c r="W32"/>
  <c r="AS31"/>
  <c r="AS32"/>
  <c r="U31"/>
  <c r="U32"/>
  <c r="Z32"/>
  <c r="Z31"/>
  <c r="AQ31"/>
  <c r="AQ32"/>
  <c r="AA31"/>
  <c r="AA32"/>
  <c r="AJ31"/>
  <c r="AJ32"/>
  <c r="X32"/>
  <c r="X31"/>
  <c r="AY31"/>
  <c r="AY32"/>
  <c r="Y31"/>
  <c r="Y32"/>
  <c r="AL32"/>
  <c r="AL31"/>
  <c r="AI174"/>
  <c r="AI173"/>
  <c r="AN174"/>
  <c r="AN173"/>
  <c r="X174"/>
  <c r="X173"/>
  <c r="Y173"/>
  <c r="Y174"/>
  <c r="AN138"/>
  <c r="AN137"/>
  <c r="AS138"/>
  <c r="AS137"/>
  <c r="AT137"/>
  <c r="AT138"/>
  <c r="AU138"/>
  <c r="AU137"/>
  <c r="AH75"/>
  <c r="AY75"/>
  <c r="BA75"/>
  <c r="AB75"/>
  <c r="AQ173"/>
  <c r="AQ174"/>
  <c r="AP174"/>
  <c r="AP173"/>
  <c r="AR174"/>
  <c r="AR173"/>
  <c r="AS174"/>
  <c r="AS173"/>
  <c r="AZ138"/>
  <c r="AZ137"/>
  <c r="AW138"/>
  <c r="AW137"/>
  <c r="AX137"/>
  <c r="AX138"/>
  <c r="AY138"/>
  <c r="AY137"/>
  <c r="AM173"/>
  <c r="AM174"/>
  <c r="AU173"/>
  <c r="AU174"/>
  <c r="AX174"/>
  <c r="AX173"/>
  <c r="AH174"/>
  <c r="AH173"/>
  <c r="AZ174"/>
  <c r="AZ173"/>
  <c r="AJ174"/>
  <c r="AJ173"/>
  <c r="BA174"/>
  <c r="BA173"/>
  <c r="AK174"/>
  <c r="AK173"/>
  <c r="X138"/>
  <c r="X137"/>
  <c r="AF138"/>
  <c r="AF137"/>
  <c r="AO137"/>
  <c r="AO138"/>
  <c r="Y138"/>
  <c r="Y137"/>
  <c r="AP138"/>
  <c r="AP137"/>
  <c r="Z137"/>
  <c r="Z138"/>
  <c r="AQ138"/>
  <c r="AQ137"/>
  <c r="AA138"/>
  <c r="AA137"/>
  <c r="AW75"/>
  <c r="AT75"/>
  <c r="AD75"/>
  <c r="AO75"/>
  <c r="AU75"/>
  <c r="AE75"/>
  <c r="AG75"/>
  <c r="AN75"/>
  <c r="X75"/>
  <c r="AA174"/>
  <c r="AA173"/>
  <c r="AL174"/>
  <c r="AL173"/>
  <c r="AO174"/>
  <c r="AO173"/>
  <c r="AV138"/>
  <c r="AV137"/>
  <c r="AC137"/>
  <c r="AC138"/>
  <c r="AD138"/>
  <c r="AD137"/>
  <c r="AE137"/>
  <c r="AE138"/>
  <c r="AX75"/>
  <c r="AS75"/>
  <c r="AI75"/>
  <c r="AR75"/>
  <c r="AY174"/>
  <c r="AY173"/>
  <c r="Z174"/>
  <c r="Z173"/>
  <c r="AB174"/>
  <c r="AB173"/>
  <c r="AC174"/>
  <c r="AC173"/>
  <c r="AB137"/>
  <c r="AB138"/>
  <c r="AG137"/>
  <c r="AG138"/>
  <c r="AH138"/>
  <c r="AH137"/>
  <c r="AI138"/>
  <c r="AI137"/>
  <c r="Y75"/>
  <c r="AL75"/>
  <c r="AM75"/>
  <c r="AV75"/>
  <c r="AF75"/>
  <c r="AE173"/>
  <c r="AE174"/>
  <c r="AT174"/>
  <c r="AT173"/>
  <c r="AD174"/>
  <c r="AD173"/>
  <c r="AV174"/>
  <c r="AV173"/>
  <c r="AF174"/>
  <c r="AF173"/>
  <c r="AW173"/>
  <c r="AW174"/>
  <c r="AG174"/>
  <c r="AG173"/>
  <c r="AJ138"/>
  <c r="AJ137"/>
  <c r="AR138"/>
  <c r="AR137"/>
  <c r="BA137"/>
  <c r="BA138"/>
  <c r="AK137"/>
  <c r="AK138"/>
  <c r="AL137"/>
  <c r="AL138"/>
  <c r="AM138"/>
  <c r="AM137"/>
  <c r="W138"/>
  <c r="W137"/>
  <c r="AK75"/>
  <c r="AP75"/>
  <c r="Z75"/>
  <c r="AC75"/>
  <c r="AQ75"/>
  <c r="AA75"/>
  <c r="AZ75"/>
  <c r="AJ75"/>
  <c r="U174"/>
  <c r="U173"/>
  <c r="V174"/>
  <c r="V173"/>
  <c r="W174"/>
  <c r="W173"/>
  <c r="U138"/>
  <c r="U137"/>
  <c r="V138"/>
  <c r="V137"/>
  <c r="AU109"/>
  <c r="AA108"/>
  <c r="AA109"/>
  <c r="AP109"/>
  <c r="AI109"/>
  <c r="AE108"/>
  <c r="AE109"/>
  <c r="AV109"/>
  <c r="AF109"/>
  <c r="AF108"/>
  <c r="AW109"/>
  <c r="AG108"/>
  <c r="AG109"/>
  <c r="AT109"/>
  <c r="AD108"/>
  <c r="AD109"/>
  <c r="AR109"/>
  <c r="AB109"/>
  <c r="AB108"/>
  <c r="Y108"/>
  <c r="Y109"/>
  <c r="AY109"/>
  <c r="V109"/>
  <c r="V108"/>
  <c r="AZ109"/>
  <c r="AJ109"/>
  <c r="BA109"/>
  <c r="AK109"/>
  <c r="AX109"/>
  <c r="AH109"/>
  <c r="AC109"/>
  <c r="AC108"/>
  <c r="AQ109"/>
  <c r="AS109"/>
  <c r="AM109"/>
  <c r="Z108"/>
  <c r="Z109"/>
  <c r="AN109"/>
  <c r="W108"/>
  <c r="W109"/>
  <c r="AO109"/>
  <c r="X109"/>
  <c r="X108"/>
  <c r="AL109"/>
  <c r="U109"/>
  <c r="U108"/>
  <c r="U75"/>
  <c r="V75"/>
  <c r="W75"/>
  <c r="K122"/>
  <c r="G119" l="1"/>
  <c r="J119" s="1"/>
  <c r="G120"/>
  <c r="J120" s="1"/>
  <c r="G114"/>
  <c r="J114" s="1"/>
  <c r="I114" l="1"/>
  <c r="K114" s="1"/>
  <c r="I120"/>
  <c r="I119"/>
  <c r="K119" s="1"/>
  <c r="G118"/>
  <c r="J118" s="1"/>
  <c r="K120" l="1"/>
  <c r="I118"/>
  <c r="G125"/>
  <c r="J125" s="1"/>
  <c r="K118" l="1"/>
  <c r="I125"/>
  <c r="K125" s="1"/>
  <c r="G128" l="1"/>
  <c r="J128" s="1"/>
  <c r="I128" l="1"/>
  <c r="G127"/>
  <c r="J127" s="1"/>
  <c r="G133"/>
  <c r="J133" s="1"/>
  <c r="G126"/>
  <c r="J126" s="1"/>
  <c r="K128" l="1"/>
  <c r="I126"/>
  <c r="I133"/>
  <c r="I127"/>
  <c r="K127" s="1"/>
  <c r="K133" l="1"/>
  <c r="K126"/>
  <c r="G96"/>
  <c r="J96" s="1"/>
  <c r="G94"/>
  <c r="J94" s="1"/>
  <c r="G83"/>
  <c r="J83" s="1"/>
  <c r="G87"/>
  <c r="J87" s="1"/>
  <c r="G100"/>
  <c r="J100" s="1"/>
  <c r="G82"/>
  <c r="J82" s="1"/>
  <c r="G101"/>
  <c r="J101" s="1"/>
  <c r="G90"/>
  <c r="J90" s="1"/>
  <c r="G80"/>
  <c r="J80" s="1"/>
  <c r="G89"/>
  <c r="J89" s="1"/>
  <c r="G84"/>
  <c r="J84" s="1"/>
  <c r="G85"/>
  <c r="J85" s="1"/>
  <c r="G97"/>
  <c r="J97" s="1"/>
  <c r="G102"/>
  <c r="J102" s="1"/>
  <c r="G99"/>
  <c r="J99" s="1"/>
  <c r="G81"/>
  <c r="J81" s="1"/>
  <c r="I84" l="1"/>
  <c r="K84" s="1"/>
  <c r="I101"/>
  <c r="K101" s="1"/>
  <c r="I96"/>
  <c r="K96" s="1"/>
  <c r="I80"/>
  <c r="K80" s="1"/>
  <c r="I83"/>
  <c r="K83" s="1"/>
  <c r="I102"/>
  <c r="I99"/>
  <c r="I85"/>
  <c r="K85" s="1"/>
  <c r="I90"/>
  <c r="K90" s="1"/>
  <c r="I81"/>
  <c r="I89"/>
  <c r="K89" s="1"/>
  <c r="I82"/>
  <c r="K82" s="1"/>
  <c r="I94"/>
  <c r="K94" s="1"/>
  <c r="I97"/>
  <c r="K97" s="1"/>
  <c r="I100"/>
  <c r="K100" s="1"/>
  <c r="I87"/>
  <c r="K87" s="1"/>
  <c r="G37" l="1"/>
  <c r="J37" s="1"/>
  <c r="G66"/>
  <c r="J66" s="1"/>
  <c r="G52"/>
  <c r="J52" s="1"/>
  <c r="G43"/>
  <c r="J43" s="1"/>
  <c r="G60"/>
  <c r="J60" s="1"/>
  <c r="G55"/>
  <c r="J55" s="1"/>
  <c r="G48"/>
  <c r="J48" s="1"/>
  <c r="G45"/>
  <c r="J45" s="1"/>
  <c r="G41"/>
  <c r="J41" s="1"/>
  <c r="G61"/>
  <c r="J61" s="1"/>
  <c r="G49"/>
  <c r="J49" s="1"/>
  <c r="G57"/>
  <c r="J57" s="1"/>
  <c r="G51"/>
  <c r="J51" s="1"/>
  <c r="G67"/>
  <c r="J67" s="1"/>
  <c r="G59"/>
  <c r="J59" s="1"/>
  <c r="I66" l="1"/>
  <c r="K66" s="1"/>
  <c r="I61"/>
  <c r="K61" s="1"/>
  <c r="I57"/>
  <c r="I41"/>
  <c r="I60"/>
  <c r="I59"/>
  <c r="I51"/>
  <c r="I48"/>
  <c r="I49"/>
  <c r="I55"/>
  <c r="I52"/>
  <c r="I37"/>
  <c r="K37" s="1"/>
  <c r="I67"/>
  <c r="K67" s="1"/>
  <c r="I45"/>
  <c r="K45" s="1"/>
  <c r="I43"/>
  <c r="K43" s="1"/>
  <c r="K48" l="1"/>
  <c r="K51"/>
  <c r="K41"/>
  <c r="K55"/>
  <c r="K49"/>
  <c r="K59"/>
  <c r="K60"/>
  <c r="K57"/>
  <c r="K52"/>
  <c r="X8" i="13" l="1"/>
  <c r="X7"/>
  <c r="X6"/>
  <c r="X5"/>
  <c r="X4"/>
  <c r="G22" i="5"/>
  <c r="J22" s="1"/>
  <c r="G12"/>
  <c r="J12" s="1"/>
  <c r="G4"/>
  <c r="J4" s="1"/>
  <c r="G25"/>
  <c r="J25" s="1"/>
  <c r="X9" i="13"/>
  <c r="G54" i="5"/>
  <c r="J54" s="1"/>
  <c r="G58"/>
  <c r="J58" s="1"/>
  <c r="K81"/>
  <c r="K99"/>
  <c r="K102"/>
  <c r="G145"/>
  <c r="J145" s="1"/>
  <c r="G153"/>
  <c r="J153" s="1"/>
  <c r="G172"/>
  <c r="J172" s="1"/>
  <c r="G163"/>
  <c r="J163" s="1"/>
  <c r="G169"/>
  <c r="J169" s="1"/>
  <c r="G165"/>
  <c r="J165" s="1"/>
  <c r="G159"/>
  <c r="J159" s="1"/>
  <c r="G164"/>
  <c r="J164" s="1"/>
  <c r="G166"/>
  <c r="J166" s="1"/>
  <c r="G158"/>
  <c r="J158" s="1"/>
  <c r="G168"/>
  <c r="J168" s="1"/>
  <c r="G162"/>
  <c r="J162" s="1"/>
  <c r="G161"/>
  <c r="J161" s="1"/>
  <c r="G170"/>
  <c r="J170" s="1"/>
  <c r="G147"/>
  <c r="J147" s="1"/>
  <c r="I145" l="1"/>
  <c r="K145" s="1"/>
  <c r="I162"/>
  <c r="I164"/>
  <c r="I158"/>
  <c r="I165"/>
  <c r="I163"/>
  <c r="I4"/>
  <c r="K4" s="1"/>
  <c r="I166"/>
  <c r="I159"/>
  <c r="I169"/>
  <c r="I22"/>
  <c r="I172"/>
  <c r="I168"/>
  <c r="I153"/>
  <c r="I25"/>
  <c r="K25" s="1"/>
  <c r="I58"/>
  <c r="K58" s="1"/>
  <c r="I54"/>
  <c r="K54" s="1"/>
  <c r="I12"/>
  <c r="K12" s="1"/>
  <c r="I161"/>
  <c r="K161" s="1"/>
  <c r="I147"/>
  <c r="K147" s="1"/>
  <c r="I170"/>
  <c r="K170" s="1"/>
  <c r="K159" l="1"/>
  <c r="K165"/>
  <c r="K166"/>
  <c r="K163"/>
  <c r="K158"/>
  <c r="K168"/>
  <c r="K153"/>
  <c r="K172"/>
  <c r="K169"/>
  <c r="K22"/>
  <c r="K164"/>
  <c r="K162"/>
</calcChain>
</file>

<file path=xl/comments1.xml><?xml version="1.0" encoding="utf-8"?>
<comments xmlns="http://schemas.openxmlformats.org/spreadsheetml/2006/main">
  <authors>
    <author>gerardo.castillo</author>
    <author>jesus.soto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Considerando que hay que estampar 60 pcs minimo para que valga la pena un set up</t>
        </r>
      </text>
    </comment>
    <comment ref="U31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&lt;3840
Tiempo de ciclo disponible para dos maquinas ocupadas al 80%</t>
        </r>
      </text>
    </comment>
    <comment ref="Q36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Considerando que hay que estampar 60 pcs minimo para que valga la pena un set up</t>
        </r>
      </text>
    </comment>
    <comment ref="B47" authorId="1">
      <text>
        <r>
          <rPr>
            <b/>
            <sz val="9"/>
            <color indexed="81"/>
            <rFont val="Tahoma"/>
            <family val="2"/>
          </rPr>
          <t>jesus.soto:</t>
        </r>
        <r>
          <rPr>
            <sz val="9"/>
            <color indexed="81"/>
            <rFont val="Tahoma"/>
            <family val="2"/>
          </rPr>
          <t xml:space="preserve">
3100,3101,3099 pot 4</t>
        </r>
      </text>
    </comment>
    <comment ref="Q79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Considerando que hay que estampar 60 pcs minimo para que valga la pena un set up</t>
        </r>
      </text>
    </comment>
    <comment ref="Q113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Considerando que hay que estampar 60 pcs minimo para que valga la pena un set up</t>
        </r>
      </text>
    </comment>
    <comment ref="Q142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Considerando que hay que estampar 60 pcs minimo para que valga la pena un set up</t>
        </r>
      </text>
    </comment>
  </commentList>
</comments>
</file>

<file path=xl/comments2.xml><?xml version="1.0" encoding="utf-8"?>
<comments xmlns="http://schemas.openxmlformats.org/spreadsheetml/2006/main">
  <authors>
    <author>alejandro.chavez</author>
    <author>del.production</author>
  </authors>
  <commentList>
    <comment ref="A284" authorId="0">
      <text>
        <r>
          <rPr>
            <b/>
            <sz val="9"/>
            <color indexed="81"/>
            <rFont val="Tahoma"/>
            <family val="2"/>
          </rPr>
          <t>alejandro.chavez:</t>
        </r>
        <r>
          <rPr>
            <i/>
            <sz val="9"/>
            <color indexed="81"/>
            <rFont val="Tahoma"/>
            <family val="2"/>
          </rPr>
          <t xml:space="preserve">
antes era
5305674
</t>
        </r>
      </text>
    </comment>
    <comment ref="A285" authorId="0">
      <text>
        <r>
          <rPr>
            <b/>
            <sz val="9"/>
            <color indexed="81"/>
            <rFont val="Tahoma"/>
            <family val="2"/>
          </rPr>
          <t>alejandro.chavez:</t>
        </r>
        <r>
          <rPr>
            <i/>
            <sz val="9"/>
            <color indexed="81"/>
            <rFont val="Tahoma"/>
            <family val="2"/>
          </rPr>
          <t xml:space="preserve">
antes era
5305348
</t>
        </r>
      </text>
    </comment>
    <comment ref="A362" authorId="1">
      <text>
        <r>
          <rPr>
            <b/>
            <sz val="9"/>
            <color indexed="81"/>
            <rFont val="Tahoma"/>
            <family val="2"/>
          </rPr>
          <t>del.production:</t>
        </r>
        <r>
          <rPr>
            <i/>
            <sz val="9"/>
            <color indexed="81"/>
            <rFont val="Tahoma"/>
            <family val="2"/>
          </rPr>
          <t xml:space="preserve">
cambio 5712
</t>
        </r>
      </text>
    </comment>
  </commentList>
</comments>
</file>

<file path=xl/comments3.xml><?xml version="1.0" encoding="utf-8"?>
<comments xmlns="http://schemas.openxmlformats.org/spreadsheetml/2006/main">
  <authors>
    <author>gerardo.castillo</author>
    <author>alejandro.chavez</author>
    <author>del.production</author>
  </authors>
  <commentList>
    <comment ref="B99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B181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B182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B183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B252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B259" authorId="0">
      <text>
        <r>
          <rPr>
            <b/>
            <sz val="9"/>
            <color indexed="81"/>
            <rFont val="Tahoma"/>
            <family val="2"/>
          </rPr>
          <t>gerardo.castillo:</t>
        </r>
        <r>
          <rPr>
            <sz val="9"/>
            <color indexed="81"/>
            <rFont val="Tahoma"/>
            <family val="2"/>
          </rPr>
          <t xml:space="preserve">
distance ring</t>
        </r>
      </text>
    </comment>
    <comment ref="A339" authorId="1">
      <text>
        <r>
          <rPr>
            <b/>
            <sz val="9"/>
            <color indexed="81"/>
            <rFont val="Tahoma"/>
            <family val="2"/>
          </rPr>
          <t>alejandro.chavez:</t>
        </r>
        <r>
          <rPr>
            <sz val="9"/>
            <color indexed="81"/>
            <rFont val="Tahoma"/>
            <family val="2"/>
          </rPr>
          <t xml:space="preserve">
antes era
5305674
</t>
        </r>
      </text>
    </comment>
    <comment ref="A340" authorId="1">
      <text>
        <r>
          <rPr>
            <b/>
            <sz val="9"/>
            <color indexed="81"/>
            <rFont val="Tahoma"/>
            <family val="2"/>
          </rPr>
          <t>alejandro.chavez:</t>
        </r>
        <r>
          <rPr>
            <sz val="9"/>
            <color indexed="81"/>
            <rFont val="Tahoma"/>
            <family val="2"/>
          </rPr>
          <t xml:space="preserve">
antes era
5305348
</t>
        </r>
      </text>
    </comment>
    <comment ref="A372" authorId="2">
      <text>
        <r>
          <rPr>
            <b/>
            <sz val="9"/>
            <color indexed="81"/>
            <rFont val="Tahoma"/>
            <family val="2"/>
          </rPr>
          <t>del.production:</t>
        </r>
        <r>
          <rPr>
            <sz val="9"/>
            <color indexed="81"/>
            <rFont val="Tahoma"/>
            <family val="2"/>
          </rPr>
          <t xml:space="preserve">
cambio 5712
</t>
        </r>
      </text>
    </comment>
  </commentList>
</comments>
</file>

<file path=xl/sharedStrings.xml><?xml version="1.0" encoding="utf-8"?>
<sst xmlns="http://schemas.openxmlformats.org/spreadsheetml/2006/main" count="815" uniqueCount="203">
  <si>
    <t># Mandril</t>
  </si>
  <si>
    <t>N/P</t>
  </si>
  <si>
    <t>Cliente</t>
  </si>
  <si>
    <t>5C0 122 096 B</t>
  </si>
  <si>
    <t>68184913Ae</t>
  </si>
  <si>
    <t>Tiempo disponible por ciclo (seg)</t>
  </si>
  <si>
    <t>GV61-18K580-JD</t>
  </si>
  <si>
    <t>Tiempo ciclo estampado (seg)</t>
  </si>
  <si>
    <t>Numero de Estampados por manguera</t>
  </si>
  <si>
    <t>Total de estampados</t>
  </si>
  <si>
    <t>Tiempo de set up</t>
  </si>
  <si>
    <t>Total x numero</t>
  </si>
  <si>
    <t>Autoclave</t>
  </si>
  <si>
    <t>3QF 122 157 G</t>
  </si>
  <si>
    <t>3QF 122 073 L</t>
  </si>
  <si>
    <t>3QF 121 157F</t>
  </si>
  <si>
    <t>CV61-8C351-TE</t>
  </si>
  <si>
    <t>CV61-6B851-MC</t>
  </si>
  <si>
    <t>3QF.122.157.D</t>
  </si>
  <si>
    <t>68260023AB MOPAR -/- 68252175AB -/- 68260023AB</t>
  </si>
  <si>
    <t>84233584 -/- 84233584 FT WAYNE -/- 84151638 FT WAYNE -/- 84233584 FLINT -/- 84151638 FLINT</t>
  </si>
  <si>
    <t>23463172C SLP -/- 23463172C RAMOS ARIZPE -/- 23463172C</t>
  </si>
  <si>
    <t>84163282 SLP -/- 84163282 RAMOS ARIZPE -/- 84163282</t>
  </si>
  <si>
    <t>23492290B LANSING</t>
  </si>
  <si>
    <t>23492298D LANSING</t>
  </si>
  <si>
    <t>23492691E LANSING</t>
  </si>
  <si>
    <t>3QF.121.447.B</t>
  </si>
  <si>
    <t>Toma de tiempos estampado</t>
  </si>
  <si>
    <t>Maq.</t>
  </si>
  <si>
    <t>T. Prom.</t>
  </si>
  <si>
    <t>T.C.</t>
  </si>
  <si>
    <t>7s</t>
  </si>
  <si>
    <t>Mandril</t>
  </si>
  <si>
    <t>Estampados por manguera</t>
  </si>
  <si>
    <t>7 646 152 01 AG -/- 7 646 152 01 SKD -/- 7 646 152 01</t>
  </si>
  <si>
    <t>7 646 155 01 AG -/- 7 646 155 01 SKD -/- 7 646 155 01</t>
  </si>
  <si>
    <t>7 646 157 01 AG -/- 7 646 157 01 SKD -/- 7 646 157 01</t>
  </si>
  <si>
    <t>7 646 150 01 AG -/- 7 646 150 01 SKD -/- 7 646 150 01</t>
  </si>
  <si>
    <t>7 639 213 01 AG -/- 7 639 213 01 SKD -/- 7 639 213</t>
  </si>
  <si>
    <t>8 514 068 05 AG -/- 8 514 068 05 SKD -/- 8 514 068 05</t>
  </si>
  <si>
    <t>8 514 071 06 AG -/- 8 514 071 06 SKD -/- 8 514 071 06</t>
  </si>
  <si>
    <t>8 514 435 03 AG -/- 8 514 435 03 SKD -/- 8 514 435 03</t>
  </si>
  <si>
    <t>GV6Z18472J -/- GV61-18K579-JD</t>
  </si>
  <si>
    <t>HC24-8B273-AF -/- HC24-8B273-AJ</t>
  </si>
  <si>
    <t>23463166 -/- 23463166C SLP -/- 23463166C RAMOS ARIZPE -/- 23463166C</t>
  </si>
  <si>
    <t>5C0 122 073 D Chat -/- 5C0 122 073 D</t>
  </si>
  <si>
    <t>3QF.122.101.G -/- 3QF 122 101</t>
  </si>
  <si>
    <t>3QF.122.157.A -/- 3QF 122 157 G</t>
  </si>
  <si>
    <t>3QF.122.101.F</t>
  </si>
  <si>
    <t>BMW</t>
  </si>
  <si>
    <t>GM</t>
  </si>
  <si>
    <t>VW</t>
  </si>
  <si>
    <t>FCA</t>
  </si>
  <si>
    <t>52014849AB MOPAR -/- 52014849AB</t>
  </si>
  <si>
    <t>68167955AA MOPAR -/- 68167955AA</t>
  </si>
  <si>
    <t>04893434AE</t>
  </si>
  <si>
    <t>68184908AC MOPAR -/- 68184908AB MOPAR -/- 68184908AC -/- 68184908AB</t>
  </si>
  <si>
    <t>68184913Ae MOPAR -/- 68184913Ae</t>
  </si>
  <si>
    <t>68260023AB MOPAR -/- 68260023AB -/- 68184909Ae MOPAR</t>
  </si>
  <si>
    <t>68260023AB MOPAR -/- 68252175AB -/- 68260023AB -/- 68184909Ae MOPAR</t>
  </si>
  <si>
    <t>68214933AB MOPAR -/- 68214933AB</t>
  </si>
  <si>
    <t>52014853AB MOPAR -/- 52014853AB</t>
  </si>
  <si>
    <t>52014856AC MOPAR -/- 52014856AC</t>
  </si>
  <si>
    <t>52014861AC MOPAR -/- 52014861AC</t>
  </si>
  <si>
    <t>68184897AD MOPAR -/- 68184897AD</t>
  </si>
  <si>
    <t>CV6Z18472AR -/- CV61-18K580-MC</t>
  </si>
  <si>
    <t>23479326 FT WAYNE -/- 23479326 FLINT</t>
  </si>
  <si>
    <t>3QF 121 157 E</t>
  </si>
  <si>
    <t>3QF.122.109.A -/- 3QF 122 109</t>
  </si>
  <si>
    <t>84332907 -/- 23492295B</t>
  </si>
  <si>
    <t>3QF.122.051.A</t>
  </si>
  <si>
    <t>3QF.122.073.K</t>
  </si>
  <si>
    <t>84042579 FT WAYNE -/- 84042579 FLINT</t>
  </si>
  <si>
    <t>84299726 -/- 23442213B LANSING</t>
  </si>
  <si>
    <t>84165617 SLP</t>
  </si>
  <si>
    <t>22928238B RAMOS ARIZPE -/- 22928238B SLP</t>
  </si>
  <si>
    <t>84194956 -/- 84194956 FT WAYNE -/- 84101802 FT WAYNE -/- 84194956 FLINT -/- 84101802 FLINT</t>
  </si>
  <si>
    <t>23241661B -/- 23241661B SLP -/- 23241661B RAMOS ARIZPE -/- 23241661</t>
  </si>
  <si>
    <t>23241658C -/- 23241658C SLP -/- 23241658C RAMOS ARIZPE -/- 23241658</t>
  </si>
  <si>
    <t>23241642 SLP -/- 23241642 RAMOS ARIZPE -/- 23241642</t>
  </si>
  <si>
    <t>84235274 -/- 84229714</t>
  </si>
  <si>
    <t>GV61-6B851-DB -/- GV61-6B851-DA</t>
  </si>
  <si>
    <t>GV6Z8548A -/- GV61-8548-DB</t>
  </si>
  <si>
    <t>HC24-8B273-AF -/- HC24-8B273-AD -/- HC24-8B273-AJ</t>
  </si>
  <si>
    <t>84094877 SERV -/- 84194957 -/- 84194957 FT WAYNE -/- 84101801 FT WAYNE -/- 84194957 FLINT -/- 84101801 FLINT</t>
  </si>
  <si>
    <t>84152082 LANSING</t>
  </si>
  <si>
    <t>9354461_02 AG -/- 9354461_02 ZA -/- 9354461_02</t>
  </si>
  <si>
    <t>84197393 SERV -/- 84197391 SERV -/- 84291973 SERV -/- 84303543 FT WAYNE -/- 84303543 FLINT -/- 84194955 -/- 84194955 FT WAYNE -/- 84101800 FT WAYNE -/- 84194955 FLINT -/- 84101800 FLINT</t>
  </si>
  <si>
    <t>23337255 SERV -/- 23337255B SLP</t>
  </si>
  <si>
    <t>84129282 SERV -/- 84286835 SLP -/- 84286835 RAMOS ARIZPE -/- 84286835 CANADA -/- 23463171 -/- 84163282 SLP -/- 23463171C SLP -/- 84163282 RAMOS ARIZPE -/- 23463171C RAMOS ARIZPE -/- 84163282 -/- 23463171C</t>
  </si>
  <si>
    <t>84129282 SERV -/- 84129281 SERV -/- 84286835 SLP -/- 84286835 RAMOS ARIZPE -/- 84286835 CANADA -/- 22928311C SLP -/- 22928311C RAMOS ARIZPE -/- 23463171 -/- 84163282 SLP -/- 23463171C SLP -/- 84163282 RAMOS ARIZPE -/- 23463171C RAMOS ARIZPE -/- 84163282 -/- 23463171C</t>
  </si>
  <si>
    <t>84129282 SERV -/- 84286835 SLP -/- 84286835 RAMOS ARIZPE -/- 84286835 CANADA -/- 23463171 -/- 23463171C SLP -/- 23463171C RAMOS ARIZPE -/- 23463171C</t>
  </si>
  <si>
    <t>84129279 SERV -/- 23241662B -/- 23241662B SLP -/- 23241662 RAMOS ARIZPE -/- 23241662</t>
  </si>
  <si>
    <t>84129273 SERV -/- 22928174C SLP -/- 22928174C RAMOS ARIZPE</t>
  </si>
  <si>
    <t>84129281 SERV -/- 22928311C SLP -/- 22928311C RAMOS ARIZPE</t>
  </si>
  <si>
    <t>84129298 SERV -/- 23241644D RAMOS ARIZPE</t>
  </si>
  <si>
    <t>84097816 SERV -/- 84097815 SERV -/- 84299727</t>
  </si>
  <si>
    <t>84129276 SERV -/- 23463169 RAMOS ARIZPE -/- 23463169 -/- 23463169B SLP -/- 23463169B RAMOS ARIZPE -/- 23463169B</t>
  </si>
  <si>
    <t>84129280 SERV -/- 23463170 -/- 23463170B SLP -/- 23463170B RAMOS ARIZPE -/- 23463170B</t>
  </si>
  <si>
    <t>HC24-18C266-BA</t>
  </si>
  <si>
    <t>Mangueras por contenedor</t>
  </si>
  <si>
    <t>Std qty mangueras por contenedor</t>
  </si>
  <si>
    <t>% de contenedor lleno por ciclo</t>
  </si>
  <si>
    <t>Ciclos requeridos para llenar un contendor</t>
  </si>
  <si>
    <t>Tiempo requerido para estampar contenedor
Seg.</t>
  </si>
  <si>
    <t>Tiempo requerido para estampar mandriles cargados por ciclo</t>
  </si>
  <si>
    <t>Minimo de contenedores llenos necesarios para estampar</t>
  </si>
  <si>
    <t>Tiempo de V.A.</t>
  </si>
  <si>
    <t>Total de 
mandriles</t>
  </si>
  <si>
    <t>Autoclave 1</t>
  </si>
  <si>
    <t>Estampadora 1</t>
  </si>
  <si>
    <t>Estampadora 2</t>
  </si>
  <si>
    <t>Estampadora 3</t>
  </si>
  <si>
    <t>Estampadora 4</t>
  </si>
  <si>
    <t># Manguera</t>
  </si>
  <si>
    <t>Cantidad estimada a estampar</t>
  </si>
  <si>
    <t>8 570 040 02 AG -/- 8 570 040 02</t>
  </si>
  <si>
    <t>5C0 121 063 G</t>
  </si>
  <si>
    <t>FORD</t>
  </si>
  <si>
    <t>84374736 -/- 84242627</t>
  </si>
  <si>
    <t>84375231 -/- 84242628</t>
  </si>
  <si>
    <t>HC24-8B274-AF -/- HC24 8B274 AE</t>
  </si>
  <si>
    <t>23479327 SERV -/- 23479327 FT WAYNE -/- 23479327 FLINT</t>
  </si>
  <si>
    <t>23330960 SERV -/- 23330960C SLP -/- 23330960C RAMOS ARIZPE</t>
  </si>
  <si>
    <t>84165614 SLP -/- 84165614 RAMOS ARIZPE</t>
  </si>
  <si>
    <t>84129290 SERV -/- 84165618 SLP</t>
  </si>
  <si>
    <t>23337252 SERV -/- 23337252C RAMOS ARIZPE -/- 23337252C SLP</t>
  </si>
  <si>
    <t xml:space="preserve"> Ciclos Turno A</t>
  </si>
  <si>
    <t>Ciclos Turno B</t>
  </si>
  <si>
    <t>Ciclos Turno C</t>
  </si>
  <si>
    <t>Número de mandril</t>
  </si>
  <si>
    <t>Número de Parte</t>
  </si>
  <si>
    <t>8 514 434</t>
  </si>
  <si>
    <t>7 646 151</t>
  </si>
  <si>
    <t>8 571 605</t>
  </si>
  <si>
    <t>8 571 612</t>
  </si>
  <si>
    <t>316 88 87</t>
  </si>
  <si>
    <t>8 571 345</t>
  </si>
  <si>
    <t>5C0 121 049 K</t>
  </si>
  <si>
    <t>5C0 122 051 J</t>
  </si>
  <si>
    <t>5C0 121 063 F</t>
  </si>
  <si>
    <t>5C0 121 063 H</t>
  </si>
  <si>
    <t>5C0 122 073 G</t>
  </si>
  <si>
    <t>5C0 122 058 F</t>
  </si>
  <si>
    <t>5C0122 096 A</t>
  </si>
  <si>
    <t>5C0 122 051N</t>
  </si>
  <si>
    <t>5C0 122 101 AJ</t>
  </si>
  <si>
    <r>
      <t>CV61-8C351-</t>
    </r>
    <r>
      <rPr>
        <sz val="11"/>
        <rFont val="Arial"/>
        <family val="2"/>
      </rPr>
      <t>TE</t>
    </r>
  </si>
  <si>
    <t>CV61-18K579 MD</t>
  </si>
  <si>
    <t>GV61-8260-DB</t>
  </si>
  <si>
    <t>GV61-18K579-JD</t>
  </si>
  <si>
    <t>3QF.121.063</t>
  </si>
  <si>
    <t>3QF.121.447.A</t>
  </si>
  <si>
    <t>3QF.122.051.F</t>
  </si>
  <si>
    <t>3QF.122.073.M</t>
  </si>
  <si>
    <t>3QF.122.096.A</t>
  </si>
  <si>
    <t>3QF.122.101.G</t>
  </si>
  <si>
    <t>3QF.122.109</t>
  </si>
  <si>
    <t>3QF.122.157.G</t>
  </si>
  <si>
    <t>3QF.121.073.L</t>
  </si>
  <si>
    <t>3QF.121.447.C</t>
  </si>
  <si>
    <t>5QM.121.058.C</t>
  </si>
  <si>
    <t>5QM.121.447.F</t>
  </si>
  <si>
    <t>5QM.122.157.K</t>
  </si>
  <si>
    <t>Autoclave 4</t>
  </si>
  <si>
    <t>8 571 609 01 AG -/- 8 571 609 01 SKD -/- 8 571 609 01</t>
  </si>
  <si>
    <t>23463168C SLP -/- 23463168C RAMOS ARIZPE -/- 23463168C</t>
  </si>
  <si>
    <t>Plan de producción para estampado</t>
  </si>
  <si>
    <t>Turno: A</t>
  </si>
  <si>
    <t>Mes: Octubre</t>
  </si>
  <si>
    <t>Turno: C</t>
  </si>
  <si>
    <t>Turno: B</t>
  </si>
  <si>
    <t>Cantidad estampada real</t>
  </si>
  <si>
    <t>Mangueras a estampar</t>
  </si>
  <si>
    <t>06K 121 049</t>
  </si>
  <si>
    <t>5C0 122 101 AA Chat -/- 5C0 122 101 AA</t>
  </si>
  <si>
    <t>3QF.122.058.C</t>
  </si>
  <si>
    <t>Ciclos acumulados</t>
  </si>
  <si>
    <t>Autoclave 2</t>
  </si>
  <si>
    <t>Autoclave 3</t>
  </si>
  <si>
    <t>Autoclave 5</t>
  </si>
  <si>
    <t>Estampadora 5</t>
  </si>
  <si>
    <t>8 571 619 01 AG -/- 8 571 619 01</t>
  </si>
  <si>
    <t>8 583 675 01 AG -/- 8 583 675 01 SKD -/- 8 583 675 01</t>
  </si>
  <si>
    <t>3QF.122.447 -/- 3QF 122 157 G</t>
  </si>
  <si>
    <t>9354474_02 AG -/- 9354474_02 ZA -/- 9354474_02</t>
  </si>
  <si>
    <t>3QF.121.156.A</t>
  </si>
  <si>
    <t>3QF 121 156 B</t>
  </si>
  <si>
    <t>EXO-S (FCA)</t>
  </si>
  <si>
    <t>52014852AB</t>
  </si>
  <si>
    <t>68335793AB -/- 68335793AA</t>
  </si>
  <si>
    <t>68335792AA</t>
  </si>
  <si>
    <t>3QF 121 109 B</t>
  </si>
  <si>
    <t>HC24-18C266-AE</t>
  </si>
  <si>
    <t>84097813 SERV -/- 23442216A LANSING</t>
  </si>
  <si>
    <t>84128390B SLP -/- 23463165 -/- 23463165B SLP -/- 23463165B RAMOS ARIZPE -/- 23463165B</t>
  </si>
  <si>
    <t>23241643C SLP -/- 23241643C RAMOS ARIZPE -/- 23241643</t>
  </si>
  <si>
    <t>23241659C RAMOS ARIZPE -/- 23241659C SLP</t>
  </si>
  <si>
    <t>84129295 SERV -/- 23463167 -/- 23463167C SLP -/- 23463167C RAMOS ARIZPE -/- 23463167C</t>
  </si>
  <si>
    <t>84384387 -/- 84311643 -/- 23492288 -/- 23492288D LANSING</t>
  </si>
  <si>
    <t>84129296 SERV -/- 23241660D RAMOS ARIZPE</t>
  </si>
  <si>
    <t>Tiempo total de estampado
Seg.</t>
  </si>
  <si>
    <t>X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</si>
</sst>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35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name val="Arial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9"/>
      <name val="Calibri"/>
      <family val="2"/>
      <charset val="238"/>
    </font>
    <font>
      <i/>
      <sz val="10"/>
      <name val="Arial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9"/>
      <color theme="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b/>
      <sz val="14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theme="1"/>
      <name val="Arial"/>
      <family val="2"/>
    </font>
    <font>
      <b/>
      <sz val="11"/>
      <color theme="3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9"/>
      <color rgb="FF0070C0"/>
      <name val="Arial"/>
      <family val="2"/>
    </font>
    <font>
      <sz val="11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185"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Fill="1" applyBorder="1"/>
    <xf numFmtId="0" fontId="6" fillId="0" borderId="0" xfId="0" applyFont="1" applyBorder="1" applyAlignment="1">
      <alignment horizontal="center"/>
    </xf>
    <xf numFmtId="0" fontId="0" fillId="0" borderId="4" xfId="0" applyBorder="1"/>
    <xf numFmtId="0" fontId="0" fillId="0" borderId="0" xfId="0" applyFill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Border="1" applyAlignment="1"/>
    <xf numFmtId="2" fontId="0" fillId="0" borderId="1" xfId="0" applyNumberFormat="1" applyFill="1" applyBorder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 wrapText="1"/>
    </xf>
    <xf numFmtId="0" fontId="9" fillId="0" borderId="3" xfId="0" applyFont="1" applyBorder="1" applyAlignment="1" applyProtection="1">
      <alignment horizontal="center" vertical="center" wrapText="1"/>
    </xf>
    <xf numFmtId="0" fontId="9" fillId="0" borderId="1" xfId="0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left" vertical="center"/>
      <protection hidden="1"/>
    </xf>
    <xf numFmtId="0" fontId="6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64" fontId="0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0" fontId="17" fillId="3" borderId="1" xfId="1" applyFont="1" applyFill="1" applyBorder="1" applyAlignment="1">
      <alignment horizontal="center" vertical="center" wrapText="1"/>
    </xf>
    <xf numFmtId="0" fontId="1" fillId="0" borderId="1" xfId="1" applyFont="1" applyBorder="1" applyAlignment="1">
      <alignment horizontal="center" vertical="center" wrapText="1"/>
    </xf>
    <xf numFmtId="0" fontId="1" fillId="3" borderId="1" xfId="1" applyFont="1" applyFill="1" applyBorder="1" applyAlignment="1">
      <alignment horizontal="center" vertical="center" wrapText="1"/>
    </xf>
    <xf numFmtId="0" fontId="1" fillId="0" borderId="1" xfId="1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164" fontId="0" fillId="3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3" borderId="4" xfId="0" applyFill="1" applyBorder="1"/>
    <xf numFmtId="0" fontId="2" fillId="3" borderId="0" xfId="2" applyFill="1"/>
    <xf numFmtId="0" fontId="6" fillId="3" borderId="0" xfId="0" applyFont="1" applyFill="1" applyBorder="1" applyAlignment="1">
      <alignment horizontal="center"/>
    </xf>
    <xf numFmtId="164" fontId="0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/>
    <xf numFmtId="0" fontId="0" fillId="3" borderId="1" xfId="0" applyFill="1" applyBorder="1" applyAlignment="1">
      <alignment horizontal="center"/>
    </xf>
    <xf numFmtId="0" fontId="1" fillId="5" borderId="1" xfId="1" applyFont="1" applyFill="1" applyBorder="1" applyAlignment="1">
      <alignment horizontal="center" vertical="center" wrapText="1"/>
    </xf>
    <xf numFmtId="0" fontId="1" fillId="6" borderId="1" xfId="1" applyFont="1" applyFill="1" applyBorder="1" applyAlignment="1">
      <alignment horizontal="center" vertical="center" wrapText="1"/>
    </xf>
    <xf numFmtId="0" fontId="1" fillId="7" borderId="1" xfId="1" applyFont="1" applyFill="1" applyBorder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0" fontId="9" fillId="3" borderId="1" xfId="0" applyFont="1" applyFill="1" applyBorder="1" applyAlignment="1" applyProtection="1">
      <alignment horizontal="center" vertical="center" wrapText="1"/>
      <protection hidden="1"/>
    </xf>
    <xf numFmtId="0" fontId="4" fillId="5" borderId="1" xfId="0" applyFont="1" applyFill="1" applyBorder="1" applyAlignment="1">
      <alignment horizontal="center" vertical="center"/>
    </xf>
    <xf numFmtId="0" fontId="0" fillId="0" borderId="0" xfId="0"/>
    <xf numFmtId="0" fontId="9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1" xfId="0" applyFont="1" applyFill="1" applyBorder="1" applyAlignment="1" applyProtection="1">
      <alignment horizontal="center"/>
      <protection locked="0"/>
    </xf>
    <xf numFmtId="0" fontId="0" fillId="3" borderId="0" xfId="0" applyFont="1" applyFill="1" applyBorder="1"/>
    <xf numFmtId="0" fontId="2" fillId="3" borderId="1" xfId="0" applyFont="1" applyFill="1" applyBorder="1" applyAlignment="1" applyProtection="1">
      <alignment horizontal="center" vertical="center"/>
      <protection locked="0"/>
    </xf>
    <xf numFmtId="0" fontId="0" fillId="3" borderId="0" xfId="0" applyFont="1" applyFill="1"/>
    <xf numFmtId="164" fontId="0" fillId="0" borderId="0" xfId="0" applyNumberFormat="1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top" wrapText="1"/>
    </xf>
    <xf numFmtId="0" fontId="20" fillId="3" borderId="1" xfId="0" applyFont="1" applyFill="1" applyBorder="1" applyAlignment="1">
      <alignment horizontal="center" vertical="top" wrapText="1"/>
    </xf>
    <xf numFmtId="0" fontId="20" fillId="0" borderId="1" xfId="0" applyFont="1" applyFill="1" applyBorder="1" applyAlignment="1">
      <alignment horizontal="center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top" wrapText="1"/>
    </xf>
    <xf numFmtId="0" fontId="21" fillId="3" borderId="1" xfId="0" applyFont="1" applyFill="1" applyBorder="1" applyAlignment="1">
      <alignment horizontal="center" vertical="top" wrapText="1"/>
    </xf>
    <xf numFmtId="0" fontId="22" fillId="0" borderId="1" xfId="0" applyFont="1" applyFill="1" applyBorder="1" applyAlignment="1">
      <alignment horizontal="center" vertical="top" wrapText="1"/>
    </xf>
    <xf numFmtId="0" fontId="9" fillId="3" borderId="0" xfId="0" applyFont="1" applyFill="1" applyAlignment="1">
      <alignment horizontal="center" vertical="center"/>
    </xf>
    <xf numFmtId="0" fontId="23" fillId="3" borderId="1" xfId="4" applyFont="1" applyFill="1" applyBorder="1" applyAlignment="1" applyProtection="1">
      <alignment horizontal="center" vertical="center"/>
      <protection hidden="1"/>
    </xf>
    <xf numFmtId="0" fontId="25" fillId="3" borderId="1" xfId="1" applyFont="1" applyFill="1" applyBorder="1" applyAlignment="1">
      <alignment horizontal="center" vertical="center" wrapText="1"/>
    </xf>
    <xf numFmtId="0" fontId="26" fillId="3" borderId="0" xfId="0" applyFont="1" applyFill="1"/>
    <xf numFmtId="0" fontId="26" fillId="0" borderId="0" xfId="0" applyFont="1"/>
    <xf numFmtId="0" fontId="0" fillId="3" borderId="1" xfId="0" applyFill="1" applyBorder="1" applyAlignment="1">
      <alignment horizontal="center"/>
    </xf>
    <xf numFmtId="0" fontId="27" fillId="0" borderId="1" xfId="4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/>
      <protection locked="0"/>
    </xf>
    <xf numFmtId="0" fontId="29" fillId="3" borderId="1" xfId="1" applyFont="1" applyFill="1" applyBorder="1" applyAlignment="1">
      <alignment horizontal="center" vertical="center" wrapText="1"/>
    </xf>
    <xf numFmtId="0" fontId="24" fillId="3" borderId="1" xfId="4" applyFont="1" applyFill="1" applyBorder="1" applyAlignment="1" applyProtection="1">
      <alignment horizontal="center" vertical="center"/>
      <protection hidden="1"/>
    </xf>
    <xf numFmtId="0" fontId="2" fillId="3" borderId="0" xfId="4" applyFont="1" applyFill="1" applyBorder="1" applyAlignment="1" applyProtection="1">
      <alignment horizontal="center" vertical="center"/>
      <protection hidden="1"/>
    </xf>
    <xf numFmtId="0" fontId="13" fillId="3" borderId="1" xfId="4" applyFont="1" applyFill="1" applyBorder="1" applyAlignment="1" applyProtection="1">
      <alignment horizontal="center" vertical="center"/>
      <protection hidden="1"/>
    </xf>
    <xf numFmtId="0" fontId="23" fillId="3" borderId="0" xfId="4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center" wrapText="1"/>
    </xf>
    <xf numFmtId="0" fontId="19" fillId="0" borderId="1" xfId="0" applyFont="1" applyBorder="1" applyAlignment="1">
      <alignment horizontal="center"/>
    </xf>
    <xf numFmtId="0" fontId="28" fillId="2" borderId="1" xfId="0" applyFont="1" applyFill="1" applyBorder="1" applyAlignment="1">
      <alignment horizontal="center" vertical="center"/>
    </xf>
    <xf numFmtId="0" fontId="19" fillId="0" borderId="0" xfId="0" applyFont="1"/>
    <xf numFmtId="0" fontId="9" fillId="0" borderId="1" xfId="0" applyFont="1" applyFill="1" applyBorder="1" applyAlignment="1" applyProtection="1">
      <alignment horizontal="center" vertical="center"/>
      <protection hidden="1"/>
    </xf>
    <xf numFmtId="0" fontId="19" fillId="0" borderId="0" xfId="0" applyFont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6" borderId="1" xfId="0" applyFont="1" applyFill="1" applyBorder="1"/>
    <xf numFmtId="0" fontId="4" fillId="7" borderId="1" xfId="0" applyFont="1" applyFill="1" applyBorder="1" applyAlignment="1">
      <alignment horizontal="center"/>
    </xf>
    <xf numFmtId="0" fontId="2" fillId="9" borderId="1" xfId="0" applyFont="1" applyFill="1" applyBorder="1" applyAlignment="1" applyProtection="1">
      <alignment horizontal="center" vertical="center" wrapText="1"/>
      <protection hidden="1"/>
    </xf>
    <xf numFmtId="0" fontId="30" fillId="9" borderId="1" xfId="0" applyFont="1" applyFill="1" applyBorder="1" applyAlignment="1">
      <alignment horizontal="center" vertical="center"/>
    </xf>
    <xf numFmtId="0" fontId="30" fillId="9" borderId="1" xfId="0" applyFont="1" applyFill="1" applyBorder="1"/>
    <xf numFmtId="0" fontId="2" fillId="10" borderId="1" xfId="0" applyFont="1" applyFill="1" applyBorder="1" applyAlignment="1" applyProtection="1">
      <alignment horizontal="center" vertical="center" wrapText="1"/>
      <protection hidden="1"/>
    </xf>
    <xf numFmtId="0" fontId="30" fillId="10" borderId="1" xfId="0" applyFont="1" applyFill="1" applyBorder="1" applyAlignment="1">
      <alignment horizontal="center" vertical="center"/>
    </xf>
    <xf numFmtId="0" fontId="30" fillId="10" borderId="1" xfId="0" applyFont="1" applyFill="1" applyBorder="1"/>
    <xf numFmtId="0" fontId="2" fillId="11" borderId="1" xfId="0" applyFont="1" applyFill="1" applyBorder="1" applyAlignment="1" applyProtection="1">
      <alignment horizontal="center" vertical="center" wrapText="1"/>
      <protection hidden="1"/>
    </xf>
    <xf numFmtId="0" fontId="30" fillId="11" borderId="1" xfId="0" applyFont="1" applyFill="1" applyBorder="1" applyAlignment="1">
      <alignment horizontal="center" vertical="center"/>
    </xf>
    <xf numFmtId="0" fontId="30" fillId="11" borderId="1" xfId="0" applyFont="1" applyFill="1" applyBorder="1"/>
    <xf numFmtId="0" fontId="2" fillId="8" borderId="1" xfId="0" applyFont="1" applyFill="1" applyBorder="1" applyAlignment="1" applyProtection="1">
      <alignment horizontal="center" vertical="center" wrapText="1"/>
      <protection hidden="1"/>
    </xf>
    <xf numFmtId="0" fontId="30" fillId="8" borderId="1" xfId="0" applyFont="1" applyFill="1" applyBorder="1" applyAlignment="1">
      <alignment horizontal="center" vertical="center"/>
    </xf>
    <xf numFmtId="0" fontId="30" fillId="8" borderId="1" xfId="0" applyFont="1" applyFill="1" applyBorder="1"/>
    <xf numFmtId="0" fontId="31" fillId="10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30" fillId="0" borderId="1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3" fillId="3" borderId="1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 wrapText="1"/>
    </xf>
    <xf numFmtId="0" fontId="34" fillId="0" borderId="0" xfId="0" applyFont="1"/>
    <xf numFmtId="0" fontId="2" fillId="13" borderId="1" xfId="0" applyFont="1" applyFill="1" applyBorder="1" applyAlignment="1" applyProtection="1">
      <alignment horizontal="center" vertical="center" wrapText="1"/>
      <protection hidden="1"/>
    </xf>
    <xf numFmtId="0" fontId="30" fillId="13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 applyProtection="1">
      <alignment horizontal="center" vertical="center" wrapText="1"/>
      <protection hidden="1"/>
    </xf>
    <xf numFmtId="0" fontId="30" fillId="12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 applyProtection="1">
      <alignment horizontal="center" vertical="center" wrapText="1"/>
      <protection hidden="1"/>
    </xf>
    <xf numFmtId="0" fontId="30" fillId="14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0" fontId="2" fillId="18" borderId="1" xfId="0" applyFont="1" applyFill="1" applyBorder="1" applyAlignment="1" applyProtection="1">
      <alignment horizontal="center" vertical="center" wrapText="1"/>
      <protection hidden="1"/>
    </xf>
    <xf numFmtId="0" fontId="30" fillId="18" borderId="1" xfId="0" applyFont="1" applyFill="1" applyBorder="1" applyAlignment="1">
      <alignment horizontal="center" vertical="center"/>
    </xf>
    <xf numFmtId="0" fontId="34" fillId="3" borderId="0" xfId="0" applyFont="1" applyFill="1"/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30" fillId="2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 applyProtection="1">
      <alignment horizontal="center" vertical="center" wrapText="1"/>
      <protection hidden="1"/>
    </xf>
    <xf numFmtId="0" fontId="30" fillId="15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 applyProtection="1">
      <alignment horizontal="center" vertical="center" wrapText="1"/>
      <protection hidden="1"/>
    </xf>
    <xf numFmtId="0" fontId="30" fillId="17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 applyProtection="1">
      <alignment horizontal="center" vertical="center" wrapText="1"/>
      <protection hidden="1"/>
    </xf>
    <xf numFmtId="0" fontId="30" fillId="19" borderId="1" xfId="0" applyFont="1" applyFill="1" applyBorder="1" applyAlignment="1">
      <alignment horizontal="center" vertical="center"/>
    </xf>
    <xf numFmtId="0" fontId="30" fillId="19" borderId="1" xfId="0" applyFont="1" applyFill="1" applyBorder="1" applyAlignment="1">
      <alignment horizontal="center"/>
    </xf>
    <xf numFmtId="0" fontId="30" fillId="15" borderId="1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0" borderId="1" xfId="0" applyFont="1" applyFill="1" applyBorder="1" applyAlignment="1">
      <alignment horizontal="center"/>
    </xf>
    <xf numFmtId="0" fontId="2" fillId="4" borderId="1" xfId="0" applyFont="1" applyFill="1" applyBorder="1" applyAlignment="1" applyProtection="1">
      <alignment horizontal="center" vertical="center" wrapText="1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/>
    <xf numFmtId="0" fontId="30" fillId="15" borderId="1" xfId="0" applyFont="1" applyFill="1" applyBorder="1"/>
    <xf numFmtId="0" fontId="32" fillId="4" borderId="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30" fillId="12" borderId="1" xfId="0" applyFont="1" applyFill="1" applyBorder="1"/>
    <xf numFmtId="0" fontId="30" fillId="2" borderId="1" xfId="0" applyFont="1" applyFill="1" applyBorder="1"/>
    <xf numFmtId="0" fontId="30" fillId="11" borderId="1" xfId="0" applyFont="1" applyFill="1" applyBorder="1" applyAlignment="1">
      <alignment horizontal="center"/>
    </xf>
    <xf numFmtId="0" fontId="2" fillId="20" borderId="1" xfId="0" applyFont="1" applyFill="1" applyBorder="1" applyAlignment="1" applyProtection="1">
      <alignment horizontal="center" vertical="center" wrapText="1"/>
      <protection hidden="1"/>
    </xf>
    <xf numFmtId="0" fontId="30" fillId="20" borderId="1" xfId="0" applyFont="1" applyFill="1" applyBorder="1" applyAlignment="1">
      <alignment horizontal="center" vertical="center"/>
    </xf>
    <xf numFmtId="0" fontId="30" fillId="20" borderId="1" xfId="0" applyFont="1" applyFill="1" applyBorder="1" applyAlignment="1">
      <alignment horizontal="center"/>
    </xf>
    <xf numFmtId="0" fontId="30" fillId="10" borderId="1" xfId="0" applyFont="1" applyFill="1" applyBorder="1" applyAlignment="1">
      <alignment horizontal="center"/>
    </xf>
    <xf numFmtId="0" fontId="30" fillId="4" borderId="1" xfId="0" applyFont="1" applyFill="1" applyBorder="1" applyAlignment="1">
      <alignment horizontal="center"/>
    </xf>
    <xf numFmtId="0" fontId="2" fillId="0" borderId="1" xfId="0" applyFont="1" applyFill="1" applyBorder="1" applyAlignment="1" applyProtection="1">
      <alignment horizontal="center" wrapText="1"/>
      <protection hidden="1"/>
    </xf>
    <xf numFmtId="0" fontId="30" fillId="0" borderId="1" xfId="0" applyFont="1" applyBorder="1"/>
    <xf numFmtId="0" fontId="2" fillId="16" borderId="1" xfId="0" applyFont="1" applyFill="1" applyBorder="1" applyAlignment="1" applyProtection="1">
      <alignment horizontal="center" vertical="center" wrapText="1"/>
      <protection hidden="1"/>
    </xf>
    <xf numFmtId="0" fontId="30" fillId="16" borderId="1" xfId="0" applyFont="1" applyFill="1" applyBorder="1" applyAlignment="1">
      <alignment horizontal="center" vertical="center"/>
    </xf>
    <xf numFmtId="0" fontId="30" fillId="16" borderId="1" xfId="0" applyFont="1" applyFill="1" applyBorder="1"/>
    <xf numFmtId="0" fontId="31" fillId="9" borderId="1" xfId="0" applyFont="1" applyFill="1" applyBorder="1" applyAlignment="1">
      <alignment horizontal="center" vertical="center"/>
    </xf>
    <xf numFmtId="0" fontId="34" fillId="0" borderId="0" xfId="0" applyFont="1" applyBorder="1"/>
    <xf numFmtId="0" fontId="31" fillId="12" borderId="1" xfId="0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7" borderId="1" xfId="0" applyFont="1" applyFill="1" applyBorder="1"/>
    <xf numFmtId="0" fontId="8" fillId="0" borderId="0" xfId="0" applyFont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5" xfId="0" applyFont="1" applyFill="1" applyBorder="1" applyAlignment="1">
      <alignment horizont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4" borderId="5" xfId="0" applyFont="1" applyFill="1" applyBorder="1" applyAlignment="1">
      <alignment horizontal="center"/>
    </xf>
    <xf numFmtId="0" fontId="19" fillId="4" borderId="6" xfId="0" applyFont="1" applyFill="1" applyBorder="1" applyAlignment="1">
      <alignment horizontal="center"/>
    </xf>
    <xf numFmtId="0" fontId="19" fillId="4" borderId="7" xfId="0" applyFont="1" applyFill="1" applyBorder="1" applyAlignment="1">
      <alignment horizontal="center"/>
    </xf>
    <xf numFmtId="0" fontId="19" fillId="0" borderId="1" xfId="0" applyFont="1" applyBorder="1" applyAlignment="1">
      <alignment horizontal="center"/>
    </xf>
  </cellXfs>
  <cellStyles count="5">
    <cellStyle name="Encabezado 4" xfId="1" builtinId="19"/>
    <cellStyle name="Normal" xfId="0" builtinId="0"/>
    <cellStyle name="Normal 2" xfId="2"/>
    <cellStyle name="Normal 2 3" xfId="3"/>
    <cellStyle name="Normal_F25 - stock building simulation 19.07_cedula de Vulcanizacion enero 2012 1" xfId="4"/>
  </cellStyles>
  <dxfs count="11"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FF"/>
      <color rgb="FF99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M1:X10"/>
  <sheetViews>
    <sheetView workbookViewId="0">
      <selection activeCell="AA11" sqref="AA11"/>
    </sheetView>
  </sheetViews>
  <sheetFormatPr baseColWidth="10" defaultRowHeight="15"/>
  <cols>
    <col min="1" max="1" width="4.140625" bestFit="1" customWidth="1"/>
    <col min="2" max="2" width="5" bestFit="1" customWidth="1"/>
    <col min="3" max="3" width="4" bestFit="1" customWidth="1"/>
    <col min="4" max="5" width="5" bestFit="1" customWidth="1"/>
    <col min="6" max="7" width="4" bestFit="1" customWidth="1"/>
    <col min="8" max="11" width="5" bestFit="1" customWidth="1"/>
    <col min="13" max="13" width="5.42578125" bestFit="1" customWidth="1"/>
    <col min="14" max="14" width="5" bestFit="1" customWidth="1"/>
    <col min="15" max="15" width="4" bestFit="1" customWidth="1"/>
    <col min="16" max="17" width="5" bestFit="1" customWidth="1"/>
    <col min="18" max="19" width="4" bestFit="1" customWidth="1"/>
    <col min="20" max="23" width="5" bestFit="1" customWidth="1"/>
  </cols>
  <sheetData>
    <row r="1" spans="13:24">
      <c r="M1" s="169" t="s">
        <v>27</v>
      </c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</row>
    <row r="2" spans="13:24"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</row>
    <row r="3" spans="13:24">
      <c r="M3" s="18" t="s">
        <v>28</v>
      </c>
      <c r="N3" s="18">
        <v>1</v>
      </c>
      <c r="O3" s="18">
        <v>2</v>
      </c>
      <c r="P3" s="18">
        <v>3</v>
      </c>
      <c r="Q3" s="18">
        <v>4</v>
      </c>
      <c r="R3" s="18">
        <v>5</v>
      </c>
      <c r="S3" s="18">
        <v>6</v>
      </c>
      <c r="T3" s="18">
        <v>7</v>
      </c>
      <c r="U3" s="18">
        <v>8</v>
      </c>
      <c r="V3" s="18">
        <v>9</v>
      </c>
      <c r="W3" s="18">
        <v>10</v>
      </c>
      <c r="X3" s="18" t="s">
        <v>29</v>
      </c>
    </row>
    <row r="4" spans="13:24">
      <c r="M4" s="11">
        <v>21</v>
      </c>
      <c r="N4" s="11">
        <v>7.2</v>
      </c>
      <c r="O4" s="11">
        <v>5.5</v>
      </c>
      <c r="P4" s="11">
        <v>6.4</v>
      </c>
      <c r="Q4" s="11">
        <v>7.8</v>
      </c>
      <c r="R4" s="11">
        <v>5.17</v>
      </c>
      <c r="S4" s="11">
        <v>5.92</v>
      </c>
      <c r="T4" s="11">
        <v>6.55</v>
      </c>
      <c r="U4" s="11">
        <v>6.35</v>
      </c>
      <c r="V4" s="11">
        <v>7.02</v>
      </c>
      <c r="W4" s="11">
        <v>5.35</v>
      </c>
      <c r="X4" s="19">
        <f>AVERAGE(N4:W4)</f>
        <v>6.3259999999999996</v>
      </c>
    </row>
    <row r="5" spans="13:24">
      <c r="M5" s="11">
        <v>15</v>
      </c>
      <c r="N5" s="11">
        <v>5.05</v>
      </c>
      <c r="O5" s="11">
        <v>6.3</v>
      </c>
      <c r="P5" s="11">
        <v>7.7</v>
      </c>
      <c r="Q5" s="11">
        <v>5.15</v>
      </c>
      <c r="R5" s="11">
        <v>9.1</v>
      </c>
      <c r="S5" s="11">
        <v>4.5999999999999996</v>
      </c>
      <c r="T5" s="11">
        <v>7.04</v>
      </c>
      <c r="U5" s="11">
        <v>5.21</v>
      </c>
      <c r="V5" s="11">
        <v>4.5599999999999996</v>
      </c>
      <c r="W5" s="11">
        <v>6.5</v>
      </c>
      <c r="X5" s="19">
        <f>AVERAGE(N5:W5)</f>
        <v>6.1210000000000004</v>
      </c>
    </row>
    <row r="6" spans="13:24">
      <c r="M6" s="11">
        <v>9</v>
      </c>
      <c r="N6" s="11">
        <v>4.3</v>
      </c>
      <c r="O6" s="11">
        <v>5.2</v>
      </c>
      <c r="P6" s="11">
        <v>3.2</v>
      </c>
      <c r="Q6" s="11">
        <v>8.6999999999999993</v>
      </c>
      <c r="R6" s="11">
        <v>7.2</v>
      </c>
      <c r="S6" s="11">
        <v>4.5</v>
      </c>
      <c r="T6" s="11">
        <v>5.04</v>
      </c>
      <c r="U6" s="11">
        <v>3.79</v>
      </c>
      <c r="V6" s="11">
        <v>4.3499999999999996</v>
      </c>
      <c r="W6" s="11">
        <v>5.67</v>
      </c>
      <c r="X6" s="19">
        <f>AVERAGE(N6:W6)</f>
        <v>5.1949999999999994</v>
      </c>
    </row>
    <row r="7" spans="13:24">
      <c r="M7" s="20">
        <v>23</v>
      </c>
      <c r="N7" s="20">
        <v>8.06</v>
      </c>
      <c r="O7" s="20">
        <v>7.4</v>
      </c>
      <c r="P7" s="20">
        <v>7.03</v>
      </c>
      <c r="Q7" s="20">
        <v>9</v>
      </c>
      <c r="R7" s="20">
        <v>10.7</v>
      </c>
      <c r="S7" s="20">
        <v>8.16</v>
      </c>
      <c r="T7" s="20">
        <v>10.3</v>
      </c>
      <c r="U7" s="20">
        <v>6.82</v>
      </c>
      <c r="V7" s="20">
        <v>9.26</v>
      </c>
      <c r="W7" s="20">
        <v>7.13</v>
      </c>
      <c r="X7" s="19">
        <f>AVERAGE(N7:W7)</f>
        <v>8.3859999999999992</v>
      </c>
    </row>
    <row r="8" spans="13:24">
      <c r="M8" s="20">
        <v>24</v>
      </c>
      <c r="N8" s="20">
        <v>6.9</v>
      </c>
      <c r="O8" s="20">
        <v>4.47</v>
      </c>
      <c r="P8" s="20">
        <v>5.0599999999999996</v>
      </c>
      <c r="Q8" s="20">
        <v>5.42</v>
      </c>
      <c r="R8" s="20">
        <v>4.62</v>
      </c>
      <c r="S8" s="20">
        <v>4.01</v>
      </c>
      <c r="T8" s="20">
        <v>4.1500000000000004</v>
      </c>
      <c r="U8" s="20">
        <v>5.25</v>
      </c>
      <c r="V8" s="20">
        <v>6.12</v>
      </c>
      <c r="W8" s="20">
        <v>4.88</v>
      </c>
      <c r="X8" s="21">
        <f>AVERAGE(N8:W8)</f>
        <v>5.0880000000000001</v>
      </c>
    </row>
    <row r="9" spans="13:24">
      <c r="R9" s="22"/>
      <c r="S9" s="22"/>
      <c r="T9" s="22"/>
      <c r="U9" s="22"/>
      <c r="V9" s="22"/>
      <c r="W9" s="22"/>
      <c r="X9" s="23">
        <f>AVERAGE(X4:X8)</f>
        <v>6.2232000000000003</v>
      </c>
    </row>
    <row r="10" spans="13:24">
      <c r="W10" s="12" t="s">
        <v>30</v>
      </c>
      <c r="X10" s="12" t="s">
        <v>31</v>
      </c>
    </row>
  </sheetData>
  <mergeCells count="1">
    <mergeCell ref="M1:X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A1:AAV174"/>
  <sheetViews>
    <sheetView showGridLines="0" topLeftCell="N1" zoomScale="70" zoomScaleNormal="70" workbookViewId="0">
      <selection activeCell="BB1" sqref="BB1"/>
    </sheetView>
  </sheetViews>
  <sheetFormatPr baseColWidth="10" defaultColWidth="11.42578125" defaultRowHeight="21"/>
  <cols>
    <col min="1" max="1" width="12.85546875" style="1" customWidth="1"/>
    <col min="2" max="2" width="14.140625" style="77" customWidth="1"/>
    <col min="3" max="3" width="16.7109375" style="15" customWidth="1"/>
    <col min="4" max="4" width="16.140625" style="13" customWidth="1"/>
    <col min="5" max="5" width="9.85546875" style="13" customWidth="1"/>
    <col min="6" max="6" width="15" style="12" customWidth="1"/>
    <col min="7" max="7" width="11.7109375" style="16" customWidth="1"/>
    <col min="8" max="8" width="15.7109375" style="7" customWidth="1"/>
    <col min="9" max="9" width="19.85546875" customWidth="1"/>
    <col min="10" max="10" width="10.42578125" customWidth="1"/>
    <col min="11" max="11" width="8" customWidth="1"/>
    <col min="12" max="12" width="13.85546875" customWidth="1"/>
    <col min="13" max="17" width="17.140625" customWidth="1"/>
    <col min="18" max="20" width="17.140625" style="60" customWidth="1"/>
    <col min="21" max="33" width="6.7109375" style="43" customWidth="1"/>
    <col min="34" max="53" width="6.7109375" customWidth="1"/>
  </cols>
  <sheetData>
    <row r="1" spans="1:87" ht="21" customHeight="1">
      <c r="A1"/>
      <c r="C1"/>
      <c r="D1" s="65"/>
    </row>
    <row r="2" spans="1:87" ht="21" customHeight="1">
      <c r="A2"/>
      <c r="C2"/>
      <c r="D2" s="65"/>
      <c r="F2" s="17"/>
      <c r="G2" s="17"/>
      <c r="H2" s="4"/>
      <c r="P2" s="2"/>
      <c r="Q2" s="2"/>
      <c r="R2" s="2"/>
      <c r="S2" s="2"/>
      <c r="T2" s="2"/>
      <c r="U2" s="170" t="s">
        <v>127</v>
      </c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1" t="s">
        <v>128</v>
      </c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2" t="s">
        <v>129</v>
      </c>
      <c r="AV2" s="172"/>
      <c r="AW2" s="172"/>
      <c r="AX2" s="172"/>
      <c r="AY2" s="172"/>
      <c r="AZ2" s="172"/>
      <c r="BA2" s="172"/>
    </row>
    <row r="3" spans="1:87" ht="57.75" customHeight="1">
      <c r="A3" s="38" t="s">
        <v>12</v>
      </c>
      <c r="B3" s="85" t="s">
        <v>0</v>
      </c>
      <c r="C3" s="79" t="s">
        <v>1</v>
      </c>
      <c r="D3" s="39" t="s">
        <v>2</v>
      </c>
      <c r="E3" s="39" t="s">
        <v>108</v>
      </c>
      <c r="F3" s="40" t="s">
        <v>8</v>
      </c>
      <c r="G3" s="40" t="s">
        <v>9</v>
      </c>
      <c r="H3" s="40" t="s">
        <v>7</v>
      </c>
      <c r="I3" s="36" t="s">
        <v>105</v>
      </c>
      <c r="J3" s="38" t="s">
        <v>10</v>
      </c>
      <c r="K3" s="10" t="s">
        <v>11</v>
      </c>
      <c r="L3" s="38" t="s">
        <v>5</v>
      </c>
      <c r="M3" s="39" t="s">
        <v>101</v>
      </c>
      <c r="N3" s="39" t="s">
        <v>102</v>
      </c>
      <c r="O3" s="39" t="s">
        <v>103</v>
      </c>
      <c r="P3" s="37" t="s">
        <v>104</v>
      </c>
      <c r="Q3" s="37" t="s">
        <v>106</v>
      </c>
      <c r="R3" s="37" t="s">
        <v>201</v>
      </c>
      <c r="S3" s="39" t="s">
        <v>177</v>
      </c>
      <c r="T3" s="39" t="s">
        <v>173</v>
      </c>
      <c r="U3" s="53">
        <v>1</v>
      </c>
      <c r="V3" s="53">
        <v>2</v>
      </c>
      <c r="W3" s="53">
        <v>3</v>
      </c>
      <c r="X3" s="53">
        <v>4</v>
      </c>
      <c r="Y3" s="53">
        <v>5</v>
      </c>
      <c r="Z3" s="53">
        <v>6</v>
      </c>
      <c r="AA3" s="53">
        <v>7</v>
      </c>
      <c r="AB3" s="53">
        <v>8</v>
      </c>
      <c r="AC3" s="53">
        <v>9</v>
      </c>
      <c r="AD3" s="53">
        <v>10</v>
      </c>
      <c r="AE3" s="53">
        <v>11</v>
      </c>
      <c r="AF3" s="53">
        <v>12</v>
      </c>
      <c r="AG3" s="53">
        <v>13</v>
      </c>
      <c r="AH3" s="54">
        <v>14</v>
      </c>
      <c r="AI3" s="54">
        <v>15</v>
      </c>
      <c r="AJ3" s="54">
        <v>16</v>
      </c>
      <c r="AK3" s="54">
        <v>17</v>
      </c>
      <c r="AL3" s="54">
        <v>18</v>
      </c>
      <c r="AM3" s="54">
        <v>19</v>
      </c>
      <c r="AN3" s="54">
        <v>20</v>
      </c>
      <c r="AO3" s="54">
        <v>21</v>
      </c>
      <c r="AP3" s="54">
        <v>22</v>
      </c>
      <c r="AQ3" s="54">
        <v>23</v>
      </c>
      <c r="AR3" s="54">
        <v>24</v>
      </c>
      <c r="AS3" s="54">
        <v>25</v>
      </c>
      <c r="AT3" s="54">
        <v>26</v>
      </c>
      <c r="AU3" s="55">
        <v>27</v>
      </c>
      <c r="AV3" s="55">
        <v>28</v>
      </c>
      <c r="AW3" s="55">
        <v>29</v>
      </c>
      <c r="AX3" s="55">
        <v>30</v>
      </c>
      <c r="AY3" s="55">
        <v>31</v>
      </c>
      <c r="AZ3" s="55">
        <v>32</v>
      </c>
      <c r="BA3" s="55">
        <v>33</v>
      </c>
    </row>
    <row r="4" spans="1:87" s="46" customFormat="1" ht="21" customHeight="1">
      <c r="A4" s="83">
        <v>1</v>
      </c>
      <c r="B4" s="58">
        <v>5201406</v>
      </c>
      <c r="C4" s="27" t="s">
        <v>15</v>
      </c>
      <c r="D4" s="78" t="s">
        <v>51</v>
      </c>
      <c r="E4" s="64">
        <v>23</v>
      </c>
      <c r="F4" s="30">
        <f>VLOOKUP(B4,'Estampados por manguera'!A$2:B$500,2,FALSE)</f>
        <v>3</v>
      </c>
      <c r="G4" s="30">
        <f t="shared" ref="G4:G30" si="0">F4*E4</f>
        <v>69</v>
      </c>
      <c r="H4" s="32">
        <v>6</v>
      </c>
      <c r="I4" s="30">
        <f t="shared" ref="I4:I30" si="1">H4*G4</f>
        <v>414</v>
      </c>
      <c r="J4" s="32">
        <f t="shared" ref="J4:J30" si="2">IF(G4&lt;1,0,180)</f>
        <v>180</v>
      </c>
      <c r="K4" s="30">
        <f t="shared" ref="K4:K30" si="3">I4+J4</f>
        <v>594</v>
      </c>
      <c r="L4" s="32">
        <v>1200</v>
      </c>
      <c r="M4" s="30">
        <f>VLOOKUP(B4,'Mangueras por contenedor'!A$2:B$500,2,FALSE)</f>
        <v>100</v>
      </c>
      <c r="N4" s="45">
        <f t="shared" ref="N4:N30" si="4">E4/M4</f>
        <v>0.23</v>
      </c>
      <c r="O4" s="11">
        <f t="shared" ref="O4:O30" si="5">IF(N4&gt;=0.8,1,IF((N4*2)&gt;=0.8,2,IF((N4*3)&gt;=0.8,3,IF((N4*4)&gt;=0.8,4,IF((N4*5)&gt;=0.8,5,IF((N4*6)&gt;=0.8,6,IF((N4*7)&gt;=0.8,7,IF((N4*8)&gt;=0.8,8,IF((N4*9)&gt;=0.8,9,IF((N4*10)&gt;=0.8,10,IF((N4*11)&gt;=0.8,11,IF((N4*12)&gt;=0.8,12,IF((N4*13)&gt;=0.8,13,IF((N4*14)&gt;=0.8,14,(IF((N4*15)&gt;=0.8,15,IF((N4*16)&gt;=0.8,16,IF((N4*17)&gt;=0.8,17,IF((N4*18)&gt;=0.8,18,IF((N4*19)&gt;=0.8,19,IF((N4*20)&gt;=0.8,20,IF((N4*21)&gt;=0.8,21,IF((N4*22)&gt;=0.8,22,IF((N4*23)&gt;=0.8,23,IF((N4*24)&gt;=0.8,24,IF((N4*25)&gt;=0.8,25,IF((N4*26)&gt;=0.8,26,IF((N4*27)&gt;=0.8,27,IF((N4*28)&gt;=0.8,28,IF((N4*29)&gt;=0.8,29,IF((N4*30)&gt;=0.8,30,IF((N4*31)&gt;=0.8,31,IF((N4*32)&gt;=0.8,32,IF((N4*33)&gt;=0.8,33,33))))))))))))))))))))))))))))))))))</f>
        <v>4</v>
      </c>
      <c r="P4" s="32">
        <f t="shared" ref="P4:P30" si="6">F4*H4*M4</f>
        <v>1800</v>
      </c>
      <c r="Q4" s="32">
        <f t="shared" ref="Q4:Q11" si="7">IF(M4&gt;=100,1,IF((M4*2)&gt;=100,2,IF((M4*3)&gt;=100,3,IF((M4*4)&gt;=100,4,5))))</f>
        <v>1</v>
      </c>
      <c r="R4" s="32">
        <f t="shared" ref="R4:R30" si="8">P4*Q4</f>
        <v>1800</v>
      </c>
      <c r="S4" s="32">
        <f t="shared" ref="S4:S30" si="9">IF((O4*Q4)&lt;33,(O4*Q4),33)</f>
        <v>4</v>
      </c>
      <c r="T4" s="32">
        <f t="shared" ref="T4:T30" si="10">M4*Q4</f>
        <v>100</v>
      </c>
      <c r="U4" s="59" t="str">
        <f t="shared" ref="U4:AD13" si="11">IF(OR(U$3/$S4=1,U$3/$S4=2,U$3/$S4=3,U$3/$S4=4,U$3/$S4=5,U$3/$S4=6,U$3/$S4=7,U$3/$S4=8,U$3/$S4=9,U$3/$S4=10,U$3/$S4=11,U$3/$S4=12,U$3/$S4=13,U$3/$S4=14,U$3/$S4=15,U$3/$S4=16,U$3/$S4=17,U$3/$S4=18,U$3/$S4=19,U$3/$S4=20,U$3/$S4=21,U$3/$S4=22,U$3/$S4=23,U$3/$S4=24,U$3/$S4=25,U$3/$S4=26,U$3/$S4=27,U$3/$S4=28,U$3/$S4=29,U$3/$S4=30,U$3/$S4=31,U$3/$S4=32,U$3/$S4=33),"X","")</f>
        <v/>
      </c>
      <c r="V4" s="59" t="str">
        <f t="shared" si="11"/>
        <v/>
      </c>
      <c r="W4" s="59" t="str">
        <f t="shared" si="11"/>
        <v/>
      </c>
      <c r="X4" s="59" t="str">
        <f t="shared" si="11"/>
        <v>X</v>
      </c>
      <c r="Y4" s="59" t="str">
        <f t="shared" si="11"/>
        <v/>
      </c>
      <c r="Z4" s="59" t="str">
        <f t="shared" si="11"/>
        <v/>
      </c>
      <c r="AA4" s="59" t="str">
        <f t="shared" si="11"/>
        <v/>
      </c>
      <c r="AB4" s="59" t="str">
        <f t="shared" si="11"/>
        <v>X</v>
      </c>
      <c r="AC4" s="59" t="str">
        <f t="shared" si="11"/>
        <v/>
      </c>
      <c r="AD4" s="59" t="str">
        <f t="shared" si="11"/>
        <v/>
      </c>
      <c r="AE4" s="59" t="s">
        <v>202</v>
      </c>
      <c r="AF4" s="59"/>
      <c r="AG4" s="59" t="str">
        <f t="shared" ref="AG4:AP4" si="12">IF(OR(AG$3/$S4=1,AG$3/$S4=2,AG$3/$S4=3,AG$3/$S4=4,AG$3/$S4=5,AG$3/$S4=6,AG$3/$S4=7,AG$3/$S4=8,AG$3/$S4=9,AG$3/$S4=10,AG$3/$S4=11,AG$3/$S4=12,AG$3/$S4=13,AG$3/$S4=14,AG$3/$S4=15,AG$3/$S4=16,AG$3/$S4=17,AG$3/$S4=18,AG$3/$S4=19,AG$3/$S4=20,AG$3/$S4=21,AG$3/$S4=22,AG$3/$S4=23,AG$3/$S4=24,AG$3/$S4=25,AG$3/$S4=26,AG$3/$S4=27,AG$3/$S4=28,AG$3/$S4=29,AG$3/$S4=30,AG$3/$S4=31,AG$3/$S4=32,AG$3/$S4=33),"X","")</f>
        <v/>
      </c>
      <c r="AH4" s="67" t="str">
        <f t="shared" si="12"/>
        <v/>
      </c>
      <c r="AI4" s="67" t="str">
        <f t="shared" si="12"/>
        <v/>
      </c>
      <c r="AJ4" s="67" t="str">
        <f t="shared" si="12"/>
        <v>X</v>
      </c>
      <c r="AK4" s="67" t="str">
        <f t="shared" si="12"/>
        <v/>
      </c>
      <c r="AL4" s="67" t="str">
        <f t="shared" si="12"/>
        <v/>
      </c>
      <c r="AM4" s="67" t="str">
        <f t="shared" si="12"/>
        <v/>
      </c>
      <c r="AN4" s="67" t="str">
        <f t="shared" si="12"/>
        <v>X</v>
      </c>
      <c r="AO4" s="67" t="str">
        <f t="shared" si="12"/>
        <v/>
      </c>
      <c r="AP4" s="67" t="str">
        <f t="shared" si="12"/>
        <v/>
      </c>
      <c r="AQ4" s="67"/>
      <c r="AR4" s="67" t="s">
        <v>202</v>
      </c>
      <c r="AS4" s="67" t="str">
        <f t="shared" ref="AS4:BA5" si="13">IF(OR(AS$3/$S4=1,AS$3/$S4=2,AS$3/$S4=3,AS$3/$S4=4,AS$3/$S4=5,AS$3/$S4=6,AS$3/$S4=7,AS$3/$S4=8,AS$3/$S4=9,AS$3/$S4=10,AS$3/$S4=11,AS$3/$S4=12,AS$3/$S4=13,AS$3/$S4=14,AS$3/$S4=15,AS$3/$S4=16,AS$3/$S4=17,AS$3/$S4=18,AS$3/$S4=19,AS$3/$S4=20,AS$3/$S4=21,AS$3/$S4=22,AS$3/$S4=23,AS$3/$S4=24,AS$3/$S4=25,AS$3/$S4=26,AS$3/$S4=27,AS$3/$S4=28,AS$3/$S4=29,AS$3/$S4=30,AS$3/$S4=31,AS$3/$S4=32,AS$3/$S4=33),"X","")</f>
        <v/>
      </c>
      <c r="AT4" s="67" t="str">
        <f t="shared" si="13"/>
        <v/>
      </c>
      <c r="AU4" s="68" t="str">
        <f t="shared" si="13"/>
        <v/>
      </c>
      <c r="AV4" s="68" t="str">
        <f t="shared" si="13"/>
        <v>X</v>
      </c>
      <c r="AW4" s="68" t="str">
        <f t="shared" si="13"/>
        <v/>
      </c>
      <c r="AX4" s="68" t="str">
        <f t="shared" si="13"/>
        <v/>
      </c>
      <c r="AY4" s="68" t="str">
        <f t="shared" si="13"/>
        <v/>
      </c>
      <c r="AZ4" s="68" t="str">
        <f t="shared" si="13"/>
        <v>X</v>
      </c>
      <c r="BA4" s="68" t="str">
        <f t="shared" si="13"/>
        <v/>
      </c>
      <c r="CH4" s="60"/>
      <c r="CI4" s="60"/>
    </row>
    <row r="5" spans="1:87" s="46" customFormat="1" ht="21" customHeight="1">
      <c r="A5" s="83">
        <v>1</v>
      </c>
      <c r="B5" s="58">
        <v>5301413</v>
      </c>
      <c r="C5" s="27" t="s">
        <v>184</v>
      </c>
      <c r="D5" s="78" t="s">
        <v>51</v>
      </c>
      <c r="E5" s="64">
        <v>20</v>
      </c>
      <c r="F5" s="30">
        <f>VLOOKUP(B5,'Estampados por manguera'!A$2:B$500,2,FALSE)</f>
        <v>1</v>
      </c>
      <c r="G5" s="30">
        <f t="shared" si="0"/>
        <v>20</v>
      </c>
      <c r="H5" s="32">
        <v>6</v>
      </c>
      <c r="I5" s="30">
        <f t="shared" si="1"/>
        <v>120</v>
      </c>
      <c r="J5" s="32">
        <f t="shared" si="2"/>
        <v>180</v>
      </c>
      <c r="K5" s="30">
        <f t="shared" si="3"/>
        <v>300</v>
      </c>
      <c r="L5" s="32">
        <v>1211</v>
      </c>
      <c r="M5" s="30">
        <f>VLOOKUP(B5,'Mangueras por contenedor'!A$2:B$500,2,FALSE)</f>
        <v>50</v>
      </c>
      <c r="N5" s="45">
        <f t="shared" si="4"/>
        <v>0.4</v>
      </c>
      <c r="O5" s="11">
        <f t="shared" si="5"/>
        <v>2</v>
      </c>
      <c r="P5" s="32">
        <f t="shared" si="6"/>
        <v>300</v>
      </c>
      <c r="Q5" s="32">
        <f t="shared" si="7"/>
        <v>2</v>
      </c>
      <c r="R5" s="32">
        <f t="shared" si="8"/>
        <v>600</v>
      </c>
      <c r="S5" s="32">
        <f t="shared" si="9"/>
        <v>4</v>
      </c>
      <c r="T5" s="32">
        <f t="shared" si="10"/>
        <v>100</v>
      </c>
      <c r="U5" s="59" t="str">
        <f t="shared" si="11"/>
        <v/>
      </c>
      <c r="V5" s="59" t="str">
        <f t="shared" si="11"/>
        <v/>
      </c>
      <c r="W5" s="59" t="str">
        <f t="shared" si="11"/>
        <v/>
      </c>
      <c r="X5" s="59" t="str">
        <f t="shared" si="11"/>
        <v>X</v>
      </c>
      <c r="Y5" s="59" t="str">
        <f t="shared" si="11"/>
        <v/>
      </c>
      <c r="Z5" s="59" t="str">
        <f t="shared" si="11"/>
        <v/>
      </c>
      <c r="AA5" s="59" t="str">
        <f t="shared" si="11"/>
        <v/>
      </c>
      <c r="AB5" s="59" t="str">
        <f t="shared" si="11"/>
        <v>X</v>
      </c>
      <c r="AC5" s="59" t="str">
        <f t="shared" si="11"/>
        <v/>
      </c>
      <c r="AD5" s="59" t="str">
        <f t="shared" si="11"/>
        <v/>
      </c>
      <c r="AE5" s="59" t="s">
        <v>202</v>
      </c>
      <c r="AF5" s="59"/>
      <c r="AG5" s="59" t="str">
        <f t="shared" ref="AG5:AL8" si="14">IF(OR(AG$3/$S5=1,AG$3/$S5=2,AG$3/$S5=3,AG$3/$S5=4,AG$3/$S5=5,AG$3/$S5=6,AG$3/$S5=7,AG$3/$S5=8,AG$3/$S5=9,AG$3/$S5=10,AG$3/$S5=11,AG$3/$S5=12,AG$3/$S5=13,AG$3/$S5=14,AG$3/$S5=15,AG$3/$S5=16,AG$3/$S5=17,AG$3/$S5=18,AG$3/$S5=19,AG$3/$S5=20,AG$3/$S5=21,AG$3/$S5=22,AG$3/$S5=23,AG$3/$S5=24,AG$3/$S5=25,AG$3/$S5=26,AG$3/$S5=27,AG$3/$S5=28,AG$3/$S5=29,AG$3/$S5=30,AG$3/$S5=31,AG$3/$S5=32,AG$3/$S5=33),"X","")</f>
        <v/>
      </c>
      <c r="AH5" s="67" t="str">
        <f t="shared" si="14"/>
        <v/>
      </c>
      <c r="AI5" s="67" t="str">
        <f t="shared" si="14"/>
        <v/>
      </c>
      <c r="AJ5" s="67" t="str">
        <f t="shared" si="14"/>
        <v>X</v>
      </c>
      <c r="AK5" s="67" t="str">
        <f t="shared" si="14"/>
        <v/>
      </c>
      <c r="AL5" s="67" t="str">
        <f t="shared" si="14"/>
        <v/>
      </c>
      <c r="AM5" s="67"/>
      <c r="AN5" s="67" t="s">
        <v>202</v>
      </c>
      <c r="AO5" s="67" t="str">
        <f>IF(OR(AO$3/$S5=1,AO$3/$S5=2,AO$3/$S5=3,AO$3/$S5=4,AO$3/$S5=5,AO$3/$S5=6,AO$3/$S5=7,AO$3/$S5=8,AO$3/$S5=9,AO$3/$S5=10,AO$3/$S5=11,AO$3/$S5=12,AO$3/$S5=13,AO$3/$S5=14,AO$3/$S5=15,AO$3/$S5=16,AO$3/$S5=17,AO$3/$S5=18,AO$3/$S5=19,AO$3/$S5=20,AO$3/$S5=21,AO$3/$S5=22,AO$3/$S5=23,AO$3/$S5=24,AO$3/$S5=25,AO$3/$S5=26,AO$3/$S5=27,AO$3/$S5=28,AO$3/$S5=29,AO$3/$S5=30,AO$3/$S5=31,AO$3/$S5=32,AO$3/$S5=33),"X","")</f>
        <v/>
      </c>
      <c r="AP5" s="67" t="str">
        <f>IF(OR(AP$3/$S5=1,AP$3/$S5=2,AP$3/$S5=3,AP$3/$S5=4,AP$3/$S5=5,AP$3/$S5=6,AP$3/$S5=7,AP$3/$S5=8,AP$3/$S5=9,AP$3/$S5=10,AP$3/$S5=11,AP$3/$S5=12,AP$3/$S5=13,AP$3/$S5=14,AP$3/$S5=15,AP$3/$S5=16,AP$3/$S5=17,AP$3/$S5=18,AP$3/$S5=19,AP$3/$S5=20,AP$3/$S5=21,AP$3/$S5=22,AP$3/$S5=23,AP$3/$S5=24,AP$3/$S5=25,AP$3/$S5=26,AP$3/$S5=27,AP$3/$S5=28,AP$3/$S5=29,AP$3/$S5=30,AP$3/$S5=31,AP$3/$S5=32,AP$3/$S5=33),"X","")</f>
        <v/>
      </c>
      <c r="AQ5" s="67" t="str">
        <f>IF(OR(AQ$3/$S5=1,AQ$3/$S5=2,AQ$3/$S5=3,AQ$3/$S5=4,AQ$3/$S5=5,AQ$3/$S5=6,AQ$3/$S5=7,AQ$3/$S5=8,AQ$3/$S5=9,AQ$3/$S5=10,AQ$3/$S5=11,AQ$3/$S5=12,AQ$3/$S5=13,AQ$3/$S5=14,AQ$3/$S5=15,AQ$3/$S5=16,AQ$3/$S5=17,AQ$3/$S5=18,AQ$3/$S5=19,AQ$3/$S5=20,AQ$3/$S5=21,AQ$3/$S5=22,AQ$3/$S5=23,AQ$3/$S5=24,AQ$3/$S5=25,AQ$3/$S5=26,AQ$3/$S5=27,AQ$3/$S5=28,AQ$3/$S5=29,AQ$3/$S5=30,AQ$3/$S5=31,AQ$3/$S5=32,AQ$3/$S5=33),"X","")</f>
        <v/>
      </c>
      <c r="AR5" s="67" t="str">
        <f>IF(OR(AR$3/$S5=1,AR$3/$S5=2,AR$3/$S5=3,AR$3/$S5=4,AR$3/$S5=5,AR$3/$S5=6,AR$3/$S5=7,AR$3/$S5=8,AR$3/$S5=9,AR$3/$S5=10,AR$3/$S5=11,AR$3/$S5=12,AR$3/$S5=13,AR$3/$S5=14,AR$3/$S5=15,AR$3/$S5=16,AR$3/$S5=17,AR$3/$S5=18,AR$3/$S5=19,AR$3/$S5=20,AR$3/$S5=21,AR$3/$S5=22,AR$3/$S5=23,AR$3/$S5=24,AR$3/$S5=25,AR$3/$S5=26,AR$3/$S5=27,AR$3/$S5=28,AR$3/$S5=29,AR$3/$S5=30,AR$3/$S5=31,AR$3/$S5=32,AR$3/$S5=33),"X","")</f>
        <v>X</v>
      </c>
      <c r="AS5" s="67" t="str">
        <f t="shared" si="13"/>
        <v/>
      </c>
      <c r="AT5" s="67" t="str">
        <f t="shared" si="13"/>
        <v/>
      </c>
      <c r="AU5" s="68" t="str">
        <f t="shared" si="13"/>
        <v/>
      </c>
      <c r="AV5" s="68" t="str">
        <f t="shared" si="13"/>
        <v>X</v>
      </c>
      <c r="AW5" s="68" t="str">
        <f t="shared" si="13"/>
        <v/>
      </c>
      <c r="AX5" s="68" t="str">
        <f t="shared" si="13"/>
        <v/>
      </c>
      <c r="AY5" s="68" t="str">
        <f t="shared" si="13"/>
        <v/>
      </c>
      <c r="AZ5" s="68" t="str">
        <f t="shared" si="13"/>
        <v>X</v>
      </c>
      <c r="BA5" s="68" t="str">
        <f t="shared" si="13"/>
        <v/>
      </c>
      <c r="CH5" s="60"/>
      <c r="CI5" s="60"/>
    </row>
    <row r="6" spans="1:87" s="46" customFormat="1" ht="21" customHeight="1">
      <c r="A6" s="83">
        <v>1</v>
      </c>
      <c r="B6" s="58">
        <v>5301404</v>
      </c>
      <c r="C6" s="27" t="s">
        <v>14</v>
      </c>
      <c r="D6" s="78" t="s">
        <v>51</v>
      </c>
      <c r="E6" s="64">
        <v>22</v>
      </c>
      <c r="F6" s="30">
        <f>VLOOKUP(B6,'Estampados por manguera'!A$2:B$500,2,FALSE)</f>
        <v>1</v>
      </c>
      <c r="G6" s="30">
        <f t="shared" si="0"/>
        <v>22</v>
      </c>
      <c r="H6" s="32">
        <v>6</v>
      </c>
      <c r="I6" s="30">
        <f t="shared" si="1"/>
        <v>132</v>
      </c>
      <c r="J6" s="32">
        <f t="shared" si="2"/>
        <v>180</v>
      </c>
      <c r="K6" s="30">
        <f t="shared" si="3"/>
        <v>312</v>
      </c>
      <c r="L6" s="32">
        <v>1205</v>
      </c>
      <c r="M6" s="30">
        <f>VLOOKUP(B6,'Mangueras por contenedor'!A$2:B$500,2,FALSE)</f>
        <v>120</v>
      </c>
      <c r="N6" s="45">
        <f t="shared" si="4"/>
        <v>0.18333333333333332</v>
      </c>
      <c r="O6" s="11">
        <f t="shared" si="5"/>
        <v>5</v>
      </c>
      <c r="P6" s="32">
        <f t="shared" si="6"/>
        <v>720</v>
      </c>
      <c r="Q6" s="32">
        <f t="shared" si="7"/>
        <v>1</v>
      </c>
      <c r="R6" s="32">
        <f t="shared" si="8"/>
        <v>720</v>
      </c>
      <c r="S6" s="32">
        <f t="shared" si="9"/>
        <v>5</v>
      </c>
      <c r="T6" s="32">
        <f t="shared" si="10"/>
        <v>120</v>
      </c>
      <c r="U6" s="59" t="str">
        <f t="shared" si="11"/>
        <v/>
      </c>
      <c r="V6" s="59" t="str">
        <f t="shared" si="11"/>
        <v/>
      </c>
      <c r="W6" s="59" t="str">
        <f t="shared" si="11"/>
        <v/>
      </c>
      <c r="X6" s="59" t="str">
        <f t="shared" si="11"/>
        <v/>
      </c>
      <c r="Y6" s="59" t="str">
        <f t="shared" si="11"/>
        <v>X</v>
      </c>
      <c r="Z6" s="59" t="str">
        <f t="shared" si="11"/>
        <v/>
      </c>
      <c r="AA6" s="59" t="str">
        <f t="shared" si="11"/>
        <v/>
      </c>
      <c r="AB6" s="59" t="str">
        <f t="shared" si="11"/>
        <v/>
      </c>
      <c r="AC6" s="59" t="str">
        <f t="shared" si="11"/>
        <v/>
      </c>
      <c r="AD6" s="59" t="str">
        <f t="shared" si="11"/>
        <v>X</v>
      </c>
      <c r="AE6" s="59"/>
      <c r="AF6" s="59" t="str">
        <f>IF(OR(AF$3/$S6=1,AF$3/$S6=2,AF$3/$S6=3,AF$3/$S6=4,AF$3/$S6=5,AF$3/$S6=6,AF$3/$S6=7,AF$3/$S6=8,AF$3/$S6=9,AF$3/$S6=10,AF$3/$S6=11,AF$3/$S6=12,AF$3/$S6=13,AF$3/$S6=14,AF$3/$S6=15,AF$3/$S6=16,AF$3/$S6=17,AF$3/$S6=18,AF$3/$S6=19,AF$3/$S6=20,AF$3/$S6=21,AF$3/$S6=22,AF$3/$S6=23,AF$3/$S6=24,AF$3/$S6=25,AF$3/$S6=26,AF$3/$S6=27,AF$3/$S6=28,AF$3/$S6=29,AF$3/$S6=30,AF$3/$S6=31,AF$3/$S6=32,AF$3/$S6=33),"X","")</f>
        <v/>
      </c>
      <c r="AG6" s="59" t="str">
        <f t="shared" si="14"/>
        <v/>
      </c>
      <c r="AH6" s="67" t="str">
        <f t="shared" si="14"/>
        <v/>
      </c>
      <c r="AI6" s="67" t="str">
        <f t="shared" si="14"/>
        <v>X</v>
      </c>
      <c r="AJ6" s="67" t="str">
        <f t="shared" si="14"/>
        <v/>
      </c>
      <c r="AK6" s="67" t="str">
        <f t="shared" si="14"/>
        <v/>
      </c>
      <c r="AL6" s="67" t="str">
        <f t="shared" si="14"/>
        <v/>
      </c>
      <c r="AM6" s="67"/>
      <c r="AN6" s="67"/>
      <c r="AO6" s="67" t="s">
        <v>202</v>
      </c>
      <c r="AP6" s="67" t="str">
        <f t="shared" ref="AP6:AW6" si="15">IF(OR(AP$3/$S6=1,AP$3/$S6=2,AP$3/$S6=3,AP$3/$S6=4,AP$3/$S6=5,AP$3/$S6=6,AP$3/$S6=7,AP$3/$S6=8,AP$3/$S6=9,AP$3/$S6=10,AP$3/$S6=11,AP$3/$S6=12,AP$3/$S6=13,AP$3/$S6=14,AP$3/$S6=15,AP$3/$S6=16,AP$3/$S6=17,AP$3/$S6=18,AP$3/$S6=19,AP$3/$S6=20,AP$3/$S6=21,AP$3/$S6=22,AP$3/$S6=23,AP$3/$S6=24,AP$3/$S6=25,AP$3/$S6=26,AP$3/$S6=27,AP$3/$S6=28,AP$3/$S6=29,AP$3/$S6=30,AP$3/$S6=31,AP$3/$S6=32,AP$3/$S6=33),"X","")</f>
        <v/>
      </c>
      <c r="AQ6" s="67" t="str">
        <f t="shared" si="15"/>
        <v/>
      </c>
      <c r="AR6" s="67" t="str">
        <f t="shared" si="15"/>
        <v/>
      </c>
      <c r="AS6" s="67" t="str">
        <f t="shared" si="15"/>
        <v>X</v>
      </c>
      <c r="AT6" s="67" t="str">
        <f t="shared" si="15"/>
        <v/>
      </c>
      <c r="AU6" s="68" t="str">
        <f t="shared" si="15"/>
        <v/>
      </c>
      <c r="AV6" s="68" t="str">
        <f t="shared" si="15"/>
        <v/>
      </c>
      <c r="AW6" s="68" t="str">
        <f t="shared" si="15"/>
        <v/>
      </c>
      <c r="AX6" s="68"/>
      <c r="AY6" s="68" t="str">
        <f t="shared" ref="AY6:BA9" si="16">IF(OR(AY$3/$S6=1,AY$3/$S6=2,AY$3/$S6=3,AY$3/$S6=4,AY$3/$S6=5,AY$3/$S6=6,AY$3/$S6=7,AY$3/$S6=8,AY$3/$S6=9,AY$3/$S6=10,AY$3/$S6=11,AY$3/$S6=12,AY$3/$S6=13,AY$3/$S6=14,AY$3/$S6=15,AY$3/$S6=16,AY$3/$S6=17,AY$3/$S6=18,AY$3/$S6=19,AY$3/$S6=20,AY$3/$S6=21,AY$3/$S6=22,AY$3/$S6=23,AY$3/$S6=24,AY$3/$S6=25,AY$3/$S6=26,AY$3/$S6=27,AY$3/$S6=28,AY$3/$S6=29,AY$3/$S6=30,AY$3/$S6=31,AY$3/$S6=32,AY$3/$S6=33),"X","")</f>
        <v/>
      </c>
      <c r="AZ6" s="68" t="str">
        <f t="shared" si="16"/>
        <v/>
      </c>
      <c r="BA6" s="68" t="str">
        <f t="shared" si="16"/>
        <v/>
      </c>
      <c r="CH6" s="60"/>
      <c r="CI6" s="60"/>
    </row>
    <row r="7" spans="1:87" s="46" customFormat="1" ht="21" customHeight="1">
      <c r="A7" s="83">
        <v>1</v>
      </c>
      <c r="B7" s="58">
        <v>5201407</v>
      </c>
      <c r="C7" s="27" t="s">
        <v>67</v>
      </c>
      <c r="D7" s="78" t="s">
        <v>51</v>
      </c>
      <c r="E7" s="64">
        <v>22</v>
      </c>
      <c r="F7" s="30">
        <f>VLOOKUP(B7,'Estampados por manguera'!A$2:B$500,2,FALSE)</f>
        <v>3</v>
      </c>
      <c r="G7" s="30">
        <f t="shared" si="0"/>
        <v>66</v>
      </c>
      <c r="H7" s="32">
        <v>6</v>
      </c>
      <c r="I7" s="30">
        <f t="shared" si="1"/>
        <v>396</v>
      </c>
      <c r="J7" s="32">
        <f t="shared" si="2"/>
        <v>180</v>
      </c>
      <c r="K7" s="30">
        <f t="shared" si="3"/>
        <v>576</v>
      </c>
      <c r="L7" s="32">
        <v>1201</v>
      </c>
      <c r="M7" s="30">
        <f>VLOOKUP(B7,'Mangueras por contenedor'!A$2:B$500,2,FALSE)</f>
        <v>68</v>
      </c>
      <c r="N7" s="45">
        <f t="shared" si="4"/>
        <v>0.3235294117647059</v>
      </c>
      <c r="O7" s="11">
        <f t="shared" si="5"/>
        <v>3</v>
      </c>
      <c r="P7" s="32">
        <f t="shared" si="6"/>
        <v>1224</v>
      </c>
      <c r="Q7" s="32">
        <f t="shared" si="7"/>
        <v>2</v>
      </c>
      <c r="R7" s="32">
        <f t="shared" si="8"/>
        <v>2448</v>
      </c>
      <c r="S7" s="32">
        <f t="shared" si="9"/>
        <v>6</v>
      </c>
      <c r="T7" s="32">
        <f t="shared" si="10"/>
        <v>136</v>
      </c>
      <c r="U7" s="59" t="str">
        <f t="shared" si="11"/>
        <v/>
      </c>
      <c r="V7" s="59" t="str">
        <f t="shared" si="11"/>
        <v/>
      </c>
      <c r="W7" s="59" t="str">
        <f t="shared" si="11"/>
        <v/>
      </c>
      <c r="X7" s="59" t="str">
        <f t="shared" si="11"/>
        <v/>
      </c>
      <c r="Y7" s="59" t="str">
        <f t="shared" si="11"/>
        <v/>
      </c>
      <c r="Z7" s="59" t="str">
        <f t="shared" si="11"/>
        <v>X</v>
      </c>
      <c r="AA7" s="59" t="str">
        <f t="shared" si="11"/>
        <v/>
      </c>
      <c r="AB7" s="59" t="str">
        <f t="shared" si="11"/>
        <v/>
      </c>
      <c r="AC7" s="59" t="str">
        <f t="shared" si="11"/>
        <v/>
      </c>
      <c r="AD7" s="59" t="str">
        <f t="shared" si="11"/>
        <v/>
      </c>
      <c r="AE7" s="59" t="str">
        <f>IF(OR(AE$3/$S7=1,AE$3/$S7=2,AE$3/$S7=3,AE$3/$S7=4,AE$3/$S7=5,AE$3/$S7=6,AE$3/$S7=7,AE$3/$S7=8,AE$3/$S7=9,AE$3/$S7=10,AE$3/$S7=11,AE$3/$S7=12,AE$3/$S7=13,AE$3/$S7=14,AE$3/$S7=15,AE$3/$S7=16,AE$3/$S7=17,AE$3/$S7=18,AE$3/$S7=19,AE$3/$S7=20,AE$3/$S7=21,AE$3/$S7=22,AE$3/$S7=23,AE$3/$S7=24,AE$3/$S7=25,AE$3/$S7=26,AE$3/$S7=27,AE$3/$S7=28,AE$3/$S7=29,AE$3/$S7=30,AE$3/$S7=31,AE$3/$S7=32,AE$3/$S7=33),"X","")</f>
        <v/>
      </c>
      <c r="AF7" s="59" t="str">
        <f>IF(OR(AF$3/$S7=1,AF$3/$S7=2,AF$3/$S7=3,AF$3/$S7=4,AF$3/$S7=5,AF$3/$S7=6,AF$3/$S7=7,AF$3/$S7=8,AF$3/$S7=9,AF$3/$S7=10,AF$3/$S7=11,AF$3/$S7=12,AF$3/$S7=13,AF$3/$S7=14,AF$3/$S7=15,AF$3/$S7=16,AF$3/$S7=17,AF$3/$S7=18,AF$3/$S7=19,AF$3/$S7=20,AF$3/$S7=21,AF$3/$S7=22,AF$3/$S7=23,AF$3/$S7=24,AF$3/$S7=25,AF$3/$S7=26,AF$3/$S7=27,AF$3/$S7=28,AF$3/$S7=29,AF$3/$S7=30,AF$3/$S7=31,AF$3/$S7=32,AF$3/$S7=33),"X","")</f>
        <v>X</v>
      </c>
      <c r="AG7" s="59" t="str">
        <f t="shared" si="14"/>
        <v/>
      </c>
      <c r="AH7" s="67" t="str">
        <f t="shared" si="14"/>
        <v/>
      </c>
      <c r="AI7" s="67" t="str">
        <f t="shared" si="14"/>
        <v/>
      </c>
      <c r="AJ7" s="67" t="str">
        <f t="shared" si="14"/>
        <v/>
      </c>
      <c r="AK7" s="67" t="str">
        <f t="shared" si="14"/>
        <v/>
      </c>
      <c r="AL7" s="67" t="str">
        <f t="shared" si="14"/>
        <v>X</v>
      </c>
      <c r="AM7" s="67" t="str">
        <f t="shared" ref="AM7:AP9" si="17">IF(OR(AM$3/$S7=1,AM$3/$S7=2,AM$3/$S7=3,AM$3/$S7=4,AM$3/$S7=5,AM$3/$S7=6,AM$3/$S7=7,AM$3/$S7=8,AM$3/$S7=9,AM$3/$S7=10,AM$3/$S7=11,AM$3/$S7=12,AM$3/$S7=13,AM$3/$S7=14,AM$3/$S7=15,AM$3/$S7=16,AM$3/$S7=17,AM$3/$S7=18,AM$3/$S7=19,AM$3/$S7=20,AM$3/$S7=21,AM$3/$S7=22,AM$3/$S7=23,AM$3/$S7=24,AM$3/$S7=25,AM$3/$S7=26,AM$3/$S7=27,AM$3/$S7=28,AM$3/$S7=29,AM$3/$S7=30,AM$3/$S7=31,AM$3/$S7=32,AM$3/$S7=33),"X","")</f>
        <v/>
      </c>
      <c r="AN7" s="67" t="str">
        <f t="shared" si="17"/>
        <v/>
      </c>
      <c r="AO7" s="67" t="str">
        <f t="shared" si="17"/>
        <v/>
      </c>
      <c r="AP7" s="67" t="str">
        <f t="shared" si="17"/>
        <v/>
      </c>
      <c r="AQ7" s="67" t="s">
        <v>202</v>
      </c>
      <c r="AR7" s="67"/>
      <c r="AS7" s="67" t="str">
        <f t="shared" ref="AS7:AX7" si="18">IF(OR(AS$3/$S7=1,AS$3/$S7=2,AS$3/$S7=3,AS$3/$S7=4,AS$3/$S7=5,AS$3/$S7=6,AS$3/$S7=7,AS$3/$S7=8,AS$3/$S7=9,AS$3/$S7=10,AS$3/$S7=11,AS$3/$S7=12,AS$3/$S7=13,AS$3/$S7=14,AS$3/$S7=15,AS$3/$S7=16,AS$3/$S7=17,AS$3/$S7=18,AS$3/$S7=19,AS$3/$S7=20,AS$3/$S7=21,AS$3/$S7=22,AS$3/$S7=23,AS$3/$S7=24,AS$3/$S7=25,AS$3/$S7=26,AS$3/$S7=27,AS$3/$S7=28,AS$3/$S7=29,AS$3/$S7=30,AS$3/$S7=31,AS$3/$S7=32,AS$3/$S7=33),"X","")</f>
        <v/>
      </c>
      <c r="AT7" s="67" t="str">
        <f t="shared" si="18"/>
        <v/>
      </c>
      <c r="AU7" s="68" t="str">
        <f t="shared" si="18"/>
        <v/>
      </c>
      <c r="AV7" s="68" t="str">
        <f t="shared" si="18"/>
        <v/>
      </c>
      <c r="AW7" s="68" t="str">
        <f t="shared" si="18"/>
        <v/>
      </c>
      <c r="AX7" s="68" t="str">
        <f t="shared" si="18"/>
        <v>X</v>
      </c>
      <c r="AY7" s="68" t="str">
        <f t="shared" si="16"/>
        <v/>
      </c>
      <c r="AZ7" s="68" t="str">
        <f t="shared" si="16"/>
        <v/>
      </c>
      <c r="BA7" s="68" t="str">
        <f t="shared" si="16"/>
        <v/>
      </c>
      <c r="CH7" s="60"/>
      <c r="CI7" s="60"/>
    </row>
    <row r="8" spans="1:87" s="46" customFormat="1" ht="21" customHeight="1">
      <c r="A8" s="83">
        <v>1</v>
      </c>
      <c r="B8" s="58">
        <v>5301371</v>
      </c>
      <c r="C8" s="27" t="s">
        <v>46</v>
      </c>
      <c r="D8" s="78" t="s">
        <v>51</v>
      </c>
      <c r="E8" s="64">
        <v>18</v>
      </c>
      <c r="F8" s="30">
        <f>VLOOKUP(B8,'Estampados por manguera'!A$2:B$500,2,FALSE)</f>
        <v>2</v>
      </c>
      <c r="G8" s="30">
        <f t="shared" si="0"/>
        <v>36</v>
      </c>
      <c r="H8" s="32">
        <v>6</v>
      </c>
      <c r="I8" s="30">
        <f t="shared" si="1"/>
        <v>216</v>
      </c>
      <c r="J8" s="32">
        <f t="shared" si="2"/>
        <v>180</v>
      </c>
      <c r="K8" s="30">
        <f t="shared" si="3"/>
        <v>396</v>
      </c>
      <c r="L8" s="32">
        <v>1204</v>
      </c>
      <c r="M8" s="30">
        <f>VLOOKUP(B8,'Mangueras por contenedor'!A$2:B$500,2,FALSE)</f>
        <v>35</v>
      </c>
      <c r="N8" s="45">
        <f t="shared" si="4"/>
        <v>0.51428571428571423</v>
      </c>
      <c r="O8" s="11">
        <f t="shared" si="5"/>
        <v>2</v>
      </c>
      <c r="P8" s="32">
        <f t="shared" si="6"/>
        <v>420</v>
      </c>
      <c r="Q8" s="32">
        <f t="shared" si="7"/>
        <v>3</v>
      </c>
      <c r="R8" s="32">
        <f t="shared" si="8"/>
        <v>1260</v>
      </c>
      <c r="S8" s="32">
        <f t="shared" si="9"/>
        <v>6</v>
      </c>
      <c r="T8" s="32">
        <f t="shared" si="10"/>
        <v>105</v>
      </c>
      <c r="U8" s="59" t="str">
        <f t="shared" si="11"/>
        <v/>
      </c>
      <c r="V8" s="59" t="str">
        <f t="shared" si="11"/>
        <v/>
      </c>
      <c r="W8" s="59" t="str">
        <f t="shared" si="11"/>
        <v/>
      </c>
      <c r="X8" s="59" t="str">
        <f t="shared" si="11"/>
        <v/>
      </c>
      <c r="Y8" s="59" t="str">
        <f t="shared" si="11"/>
        <v/>
      </c>
      <c r="Z8" s="59" t="str">
        <f t="shared" si="11"/>
        <v>X</v>
      </c>
      <c r="AA8" s="59" t="str">
        <f t="shared" si="11"/>
        <v/>
      </c>
      <c r="AB8" s="59" t="str">
        <f t="shared" si="11"/>
        <v/>
      </c>
      <c r="AC8" s="59" t="str">
        <f t="shared" si="11"/>
        <v/>
      </c>
      <c r="AD8" s="59" t="str">
        <f t="shared" si="11"/>
        <v/>
      </c>
      <c r="AE8" s="59"/>
      <c r="AF8" s="59" t="s">
        <v>202</v>
      </c>
      <c r="AG8" s="59" t="str">
        <f t="shared" si="14"/>
        <v/>
      </c>
      <c r="AH8" s="67" t="str">
        <f t="shared" si="14"/>
        <v/>
      </c>
      <c r="AI8" s="67" t="str">
        <f t="shared" si="14"/>
        <v/>
      </c>
      <c r="AJ8" s="67" t="str">
        <f t="shared" si="14"/>
        <v/>
      </c>
      <c r="AK8" s="67" t="str">
        <f t="shared" si="14"/>
        <v/>
      </c>
      <c r="AL8" s="67" t="str">
        <f t="shared" si="14"/>
        <v>X</v>
      </c>
      <c r="AM8" s="67" t="str">
        <f t="shared" si="17"/>
        <v/>
      </c>
      <c r="AN8" s="67" t="str">
        <f t="shared" si="17"/>
        <v/>
      </c>
      <c r="AO8" s="67" t="str">
        <f t="shared" si="17"/>
        <v/>
      </c>
      <c r="AP8" s="67" t="str">
        <f t="shared" si="17"/>
        <v/>
      </c>
      <c r="AQ8" s="67" t="s">
        <v>202</v>
      </c>
      <c r="AR8" s="67"/>
      <c r="AS8" s="67" t="str">
        <f>IF(OR(AS$3/$S8=1,AS$3/$S8=2,AS$3/$S8=3,AS$3/$S8=4,AS$3/$S8=5,AS$3/$S8=6,AS$3/$S8=7,AS$3/$S8=8,AS$3/$S8=9,AS$3/$S8=10,AS$3/$S8=11,AS$3/$S8=12,AS$3/$S8=13,AS$3/$S8=14,AS$3/$S8=15,AS$3/$S8=16,AS$3/$S8=17,AS$3/$S8=18,AS$3/$S8=19,AS$3/$S8=20,AS$3/$S8=21,AS$3/$S8=22,AS$3/$S8=23,AS$3/$S8=24,AS$3/$S8=25,AS$3/$S8=26,AS$3/$S8=27,AS$3/$S8=28,AS$3/$S8=29,AS$3/$S8=30,AS$3/$S8=31,AS$3/$S8=32,AS$3/$S8=33),"X","")</f>
        <v/>
      </c>
      <c r="AT8" s="67" t="str">
        <f>IF(OR(AT$3/$S8=1,AT$3/$S8=2,AT$3/$S8=3,AT$3/$S8=4,AT$3/$S8=5,AT$3/$S8=6,AT$3/$S8=7,AT$3/$S8=8,AT$3/$S8=9,AT$3/$S8=10,AT$3/$S8=11,AT$3/$S8=12,AT$3/$S8=13,AT$3/$S8=14,AT$3/$S8=15,AT$3/$S8=16,AT$3/$S8=17,AT$3/$S8=18,AT$3/$S8=19,AT$3/$S8=20,AT$3/$S8=21,AT$3/$S8=22,AT$3/$S8=23,AT$3/$S8=24,AT$3/$S8=25,AT$3/$S8=26,AT$3/$S8=27,AT$3/$S8=28,AT$3/$S8=29,AT$3/$S8=30,AT$3/$S8=31,AT$3/$S8=32,AT$3/$S8=33),"X","")</f>
        <v/>
      </c>
      <c r="AU8" s="68" t="str">
        <f>IF(OR(AU$3/$S8=1,AU$3/$S8=2,AU$3/$S8=3,AU$3/$S8=4,AU$3/$S8=5,AU$3/$S8=6,AU$3/$S8=7,AU$3/$S8=8,AU$3/$S8=9,AU$3/$S8=10,AU$3/$S8=11,AU$3/$S8=12,AU$3/$S8=13,AU$3/$S8=14,AU$3/$S8=15,AU$3/$S8=16,AU$3/$S8=17,AU$3/$S8=18,AU$3/$S8=19,AU$3/$S8=20,AU$3/$S8=21,AU$3/$S8=22,AU$3/$S8=23,AU$3/$S8=24,AU$3/$S8=25,AU$3/$S8=26,AU$3/$S8=27,AU$3/$S8=28,AU$3/$S8=29,AU$3/$S8=30,AU$3/$S8=31,AU$3/$S8=32,AU$3/$S8=33),"X","")</f>
        <v/>
      </c>
      <c r="AV8" s="68" t="str">
        <f>IF(OR(AV$3/$S8=1,AV$3/$S8=2,AV$3/$S8=3,AV$3/$S8=4,AV$3/$S8=5,AV$3/$S8=6,AV$3/$S8=7,AV$3/$S8=8,AV$3/$S8=9,AV$3/$S8=10,AV$3/$S8=11,AV$3/$S8=12,AV$3/$S8=13,AV$3/$S8=14,AV$3/$S8=15,AV$3/$S8=16,AV$3/$S8=17,AV$3/$S8=18,AV$3/$S8=19,AV$3/$S8=20,AV$3/$S8=21,AV$3/$S8=22,AV$3/$S8=23,AV$3/$S8=24,AV$3/$S8=25,AV$3/$S8=26,AV$3/$S8=27,AV$3/$S8=28,AV$3/$S8=29,AV$3/$S8=30,AV$3/$S8=31,AV$3/$S8=32,AV$3/$S8=33),"X","")</f>
        <v/>
      </c>
      <c r="AW8" s="68" t="s">
        <v>202</v>
      </c>
      <c r="AX8" s="68"/>
      <c r="AY8" s="68" t="str">
        <f t="shared" si="16"/>
        <v/>
      </c>
      <c r="AZ8" s="68" t="str">
        <f t="shared" si="16"/>
        <v/>
      </c>
      <c r="BA8" s="68" t="str">
        <f t="shared" si="16"/>
        <v/>
      </c>
      <c r="CH8" s="60"/>
      <c r="CI8" s="60"/>
    </row>
    <row r="9" spans="1:87" s="46" customFormat="1" ht="21" customHeight="1">
      <c r="A9" s="83">
        <v>1</v>
      </c>
      <c r="B9" s="58">
        <v>5301409</v>
      </c>
      <c r="C9" s="27" t="s">
        <v>13</v>
      </c>
      <c r="D9" s="78" t="s">
        <v>51</v>
      </c>
      <c r="E9" s="64">
        <v>17</v>
      </c>
      <c r="F9" s="30">
        <f>VLOOKUP(B9,'Estampados por manguera'!A$2:B$500,2,FALSE)</f>
        <v>1</v>
      </c>
      <c r="G9" s="30">
        <f t="shared" si="0"/>
        <v>17</v>
      </c>
      <c r="H9" s="32">
        <v>6</v>
      </c>
      <c r="I9" s="30">
        <f t="shared" si="1"/>
        <v>102</v>
      </c>
      <c r="J9" s="32">
        <f t="shared" si="2"/>
        <v>180</v>
      </c>
      <c r="K9" s="30">
        <f t="shared" si="3"/>
        <v>282</v>
      </c>
      <c r="L9" s="32">
        <v>1208</v>
      </c>
      <c r="M9" s="30">
        <f>VLOOKUP(B9,'Mangueras por contenedor'!A$2:B$500,2,FALSE)</f>
        <v>80</v>
      </c>
      <c r="N9" s="45">
        <f t="shared" si="4"/>
        <v>0.21249999999999999</v>
      </c>
      <c r="O9" s="11">
        <f t="shared" si="5"/>
        <v>4</v>
      </c>
      <c r="P9" s="32">
        <f t="shared" si="6"/>
        <v>480</v>
      </c>
      <c r="Q9" s="32">
        <f t="shared" si="7"/>
        <v>2</v>
      </c>
      <c r="R9" s="32">
        <f t="shared" si="8"/>
        <v>960</v>
      </c>
      <c r="S9" s="32">
        <f t="shared" si="9"/>
        <v>8</v>
      </c>
      <c r="T9" s="32">
        <f t="shared" si="10"/>
        <v>160</v>
      </c>
      <c r="U9" s="59" t="str">
        <f t="shared" si="11"/>
        <v/>
      </c>
      <c r="V9" s="59" t="str">
        <f t="shared" si="11"/>
        <v/>
      </c>
      <c r="W9" s="59" t="str">
        <f t="shared" si="11"/>
        <v/>
      </c>
      <c r="X9" s="59" t="str">
        <f t="shared" si="11"/>
        <v/>
      </c>
      <c r="Y9" s="59" t="str">
        <f t="shared" si="11"/>
        <v/>
      </c>
      <c r="Z9" s="59" t="str">
        <f t="shared" si="11"/>
        <v/>
      </c>
      <c r="AA9" s="59" t="str">
        <f t="shared" si="11"/>
        <v/>
      </c>
      <c r="AB9" s="59" t="str">
        <f t="shared" si="11"/>
        <v>X</v>
      </c>
      <c r="AC9" s="59" t="str">
        <f t="shared" si="11"/>
        <v/>
      </c>
      <c r="AD9" s="59" t="str">
        <f t="shared" si="11"/>
        <v/>
      </c>
      <c r="AE9" s="59" t="str">
        <f t="shared" ref="AE9:AH30" si="19">IF(OR(AE$3/$S9=1,AE$3/$S9=2,AE$3/$S9=3,AE$3/$S9=4,AE$3/$S9=5,AE$3/$S9=6,AE$3/$S9=7,AE$3/$S9=8,AE$3/$S9=9,AE$3/$S9=10,AE$3/$S9=11,AE$3/$S9=12,AE$3/$S9=13,AE$3/$S9=14,AE$3/$S9=15,AE$3/$S9=16,AE$3/$S9=17,AE$3/$S9=18,AE$3/$S9=19,AE$3/$S9=20,AE$3/$S9=21,AE$3/$S9=22,AE$3/$S9=23,AE$3/$S9=24,AE$3/$S9=25,AE$3/$S9=26,AE$3/$S9=27,AE$3/$S9=28,AE$3/$S9=29,AE$3/$S9=30,AE$3/$S9=31,AE$3/$S9=32,AE$3/$S9=33),"X","")</f>
        <v/>
      </c>
      <c r="AF9" s="59" t="str">
        <f t="shared" si="19"/>
        <v/>
      </c>
      <c r="AG9" s="59" t="str">
        <f t="shared" si="19"/>
        <v/>
      </c>
      <c r="AH9" s="67" t="str">
        <f t="shared" si="19"/>
        <v/>
      </c>
      <c r="AI9" s="67" t="s">
        <v>202</v>
      </c>
      <c r="AJ9" s="67"/>
      <c r="AK9" s="67" t="str">
        <f t="shared" ref="AK9:AL11" si="20">IF(OR(AK$3/$S9=1,AK$3/$S9=2,AK$3/$S9=3,AK$3/$S9=4,AK$3/$S9=5,AK$3/$S9=6,AK$3/$S9=7,AK$3/$S9=8,AK$3/$S9=9,AK$3/$S9=10,AK$3/$S9=11,AK$3/$S9=12,AK$3/$S9=13,AK$3/$S9=14,AK$3/$S9=15,AK$3/$S9=16,AK$3/$S9=17,AK$3/$S9=18,AK$3/$S9=19,AK$3/$S9=20,AK$3/$S9=21,AK$3/$S9=22,AK$3/$S9=23,AK$3/$S9=24,AK$3/$S9=25,AK$3/$S9=26,AK$3/$S9=27,AK$3/$S9=28,AK$3/$S9=29,AK$3/$S9=30,AK$3/$S9=31,AK$3/$S9=32,AK$3/$S9=33),"X","")</f>
        <v/>
      </c>
      <c r="AL9" s="67" t="str">
        <f t="shared" si="20"/>
        <v/>
      </c>
      <c r="AM9" s="67" t="str">
        <f t="shared" si="17"/>
        <v/>
      </c>
      <c r="AN9" s="67" t="str">
        <f t="shared" si="17"/>
        <v/>
      </c>
      <c r="AO9" s="67" t="str">
        <f t="shared" si="17"/>
        <v/>
      </c>
      <c r="AP9" s="67" t="str">
        <f t="shared" si="17"/>
        <v/>
      </c>
      <c r="AQ9" s="67" t="str">
        <f t="shared" ref="AQ9:AQ30" si="21">IF(OR(AQ$3/$S9=1,AQ$3/$S9=2,AQ$3/$S9=3,AQ$3/$S9=4,AQ$3/$S9=5,AQ$3/$S9=6,AQ$3/$S9=7,AQ$3/$S9=8,AQ$3/$S9=9,AQ$3/$S9=10,AQ$3/$S9=11,AQ$3/$S9=12,AQ$3/$S9=13,AQ$3/$S9=14,AQ$3/$S9=15,AQ$3/$S9=16,AQ$3/$S9=17,AQ$3/$S9=18,AQ$3/$S9=19,AQ$3/$S9=20,AQ$3/$S9=21,AQ$3/$S9=22,AQ$3/$S9=23,AQ$3/$S9=24,AQ$3/$S9=25,AQ$3/$S9=26,AQ$3/$S9=27,AQ$3/$S9=28,AQ$3/$S9=29,AQ$3/$S9=30,AQ$3/$S9=31,AQ$3/$S9=32,AQ$3/$S9=33),"X","")</f>
        <v/>
      </c>
      <c r="AR9" s="67"/>
      <c r="AS9" s="67" t="s">
        <v>202</v>
      </c>
      <c r="AT9" s="67" t="str">
        <f>IF(OR(AT$3/$S9=1,AT$3/$S9=2,AT$3/$S9=3,AT$3/$S9=4,AT$3/$S9=5,AT$3/$S9=6,AT$3/$S9=7,AT$3/$S9=8,AT$3/$S9=9,AT$3/$S9=10,AT$3/$S9=11,AT$3/$S9=12,AT$3/$S9=13,AT$3/$S9=14,AT$3/$S9=15,AT$3/$S9=16,AT$3/$S9=17,AT$3/$S9=18,AT$3/$S9=19,AT$3/$S9=20,AT$3/$S9=21,AT$3/$S9=22,AT$3/$S9=23,AT$3/$S9=24,AT$3/$S9=25,AT$3/$S9=26,AT$3/$S9=27,AT$3/$S9=28,AT$3/$S9=29,AT$3/$S9=30,AT$3/$S9=31,AT$3/$S9=32,AT$3/$S9=33),"X","")</f>
        <v/>
      </c>
      <c r="AU9" s="68" t="str">
        <f>IF(OR(AU$3/$S9=1,AU$3/$S9=2,AU$3/$S9=3,AU$3/$S9=4,AU$3/$S9=5,AU$3/$S9=6,AU$3/$S9=7,AU$3/$S9=8,AU$3/$S9=9,AU$3/$S9=10,AU$3/$S9=11,AU$3/$S9=12,AU$3/$S9=13,AU$3/$S9=14,AU$3/$S9=15,AU$3/$S9=16,AU$3/$S9=17,AU$3/$S9=18,AU$3/$S9=19,AU$3/$S9=20,AU$3/$S9=21,AU$3/$S9=22,AU$3/$S9=23,AU$3/$S9=24,AU$3/$S9=25,AU$3/$S9=26,AU$3/$S9=27,AU$3/$S9=28,AU$3/$S9=29,AU$3/$S9=30,AU$3/$S9=31,AU$3/$S9=32,AU$3/$S9=33),"X","")</f>
        <v/>
      </c>
      <c r="AV9" s="68" t="str">
        <f>IF(OR(AV$3/$S9=1,AV$3/$S9=2,AV$3/$S9=3,AV$3/$S9=4,AV$3/$S9=5,AV$3/$S9=6,AV$3/$S9=7,AV$3/$S9=8,AV$3/$S9=9,AV$3/$S9=10,AV$3/$S9=11,AV$3/$S9=12,AV$3/$S9=13,AV$3/$S9=14,AV$3/$S9=15,AV$3/$S9=16,AV$3/$S9=17,AV$3/$S9=18,AV$3/$S9=19,AV$3/$S9=20,AV$3/$S9=21,AV$3/$S9=22,AV$3/$S9=23,AV$3/$S9=24,AV$3/$S9=25,AV$3/$S9=26,AV$3/$S9=27,AV$3/$S9=28,AV$3/$S9=29,AV$3/$S9=30,AV$3/$S9=31,AV$3/$S9=32,AV$3/$S9=33),"X","")</f>
        <v/>
      </c>
      <c r="AW9" s="68" t="str">
        <f>IF(OR(AW$3/$S9=1,AW$3/$S9=2,AW$3/$S9=3,AW$3/$S9=4,AW$3/$S9=5,AW$3/$S9=6,AW$3/$S9=7,AW$3/$S9=8,AW$3/$S9=9,AW$3/$S9=10,AW$3/$S9=11,AW$3/$S9=12,AW$3/$S9=13,AW$3/$S9=14,AW$3/$S9=15,AW$3/$S9=16,AW$3/$S9=17,AW$3/$S9=18,AW$3/$S9=19,AW$3/$S9=20,AW$3/$S9=21,AW$3/$S9=22,AW$3/$S9=23,AW$3/$S9=24,AW$3/$S9=25,AW$3/$S9=26,AW$3/$S9=27,AW$3/$S9=28,AW$3/$S9=29,AW$3/$S9=30,AW$3/$S9=31,AW$3/$S9=32,AW$3/$S9=33),"X","")</f>
        <v/>
      </c>
      <c r="AX9" s="68" t="str">
        <f>IF(OR(AX$3/$S9=1,AX$3/$S9=2,AX$3/$S9=3,AX$3/$S9=4,AX$3/$S9=5,AX$3/$S9=6,AX$3/$S9=7,AX$3/$S9=8,AX$3/$S9=9,AX$3/$S9=10,AX$3/$S9=11,AX$3/$S9=12,AX$3/$S9=13,AX$3/$S9=14,AX$3/$S9=15,AX$3/$S9=16,AX$3/$S9=17,AX$3/$S9=18,AX$3/$S9=19,AX$3/$S9=20,AX$3/$S9=21,AX$3/$S9=22,AX$3/$S9=23,AX$3/$S9=24,AX$3/$S9=25,AX$3/$S9=26,AX$3/$S9=27,AX$3/$S9=28,AX$3/$S9=29,AX$3/$S9=30,AX$3/$S9=31,AX$3/$S9=32,AX$3/$S9=33),"X","")</f>
        <v/>
      </c>
      <c r="AY9" s="68" t="str">
        <f t="shared" si="16"/>
        <v/>
      </c>
      <c r="AZ9" s="68" t="str">
        <f t="shared" si="16"/>
        <v>X</v>
      </c>
      <c r="BA9" s="68" t="str">
        <f t="shared" si="16"/>
        <v/>
      </c>
      <c r="CH9" s="60"/>
      <c r="CI9" s="60"/>
    </row>
    <row r="10" spans="1:87" s="46" customFormat="1" ht="21" customHeight="1">
      <c r="A10" s="83">
        <v>1</v>
      </c>
      <c r="B10" s="58">
        <v>5301410</v>
      </c>
      <c r="C10" s="27" t="s">
        <v>47</v>
      </c>
      <c r="D10" s="78" t="s">
        <v>51</v>
      </c>
      <c r="E10" s="64">
        <v>15</v>
      </c>
      <c r="F10" s="30">
        <f>VLOOKUP(B10,'Estampados por manguera'!A$2:B$500,2,FALSE)</f>
        <v>2</v>
      </c>
      <c r="G10" s="30">
        <f t="shared" si="0"/>
        <v>30</v>
      </c>
      <c r="H10" s="32">
        <v>6</v>
      </c>
      <c r="I10" s="30">
        <f t="shared" si="1"/>
        <v>180</v>
      </c>
      <c r="J10" s="32">
        <f t="shared" si="2"/>
        <v>180</v>
      </c>
      <c r="K10" s="30">
        <f t="shared" si="3"/>
        <v>360</v>
      </c>
      <c r="L10" s="32">
        <v>1209</v>
      </c>
      <c r="M10" s="30">
        <f>VLOOKUP(B10,'Mangueras por contenedor'!A$2:B$500,2,FALSE)</f>
        <v>80</v>
      </c>
      <c r="N10" s="45">
        <f t="shared" si="4"/>
        <v>0.1875</v>
      </c>
      <c r="O10" s="11">
        <f t="shared" si="5"/>
        <v>5</v>
      </c>
      <c r="P10" s="32">
        <f t="shared" si="6"/>
        <v>960</v>
      </c>
      <c r="Q10" s="32">
        <f t="shared" si="7"/>
        <v>2</v>
      </c>
      <c r="R10" s="32">
        <f t="shared" si="8"/>
        <v>1920</v>
      </c>
      <c r="S10" s="32">
        <f t="shared" si="9"/>
        <v>10</v>
      </c>
      <c r="T10" s="32">
        <f t="shared" si="10"/>
        <v>160</v>
      </c>
      <c r="U10" s="59" t="str">
        <f t="shared" si="11"/>
        <v/>
      </c>
      <c r="V10" s="59" t="str">
        <f t="shared" si="11"/>
        <v/>
      </c>
      <c r="W10" s="59" t="str">
        <f t="shared" si="11"/>
        <v/>
      </c>
      <c r="X10" s="59" t="str">
        <f t="shared" si="11"/>
        <v/>
      </c>
      <c r="Y10" s="59" t="str">
        <f t="shared" si="11"/>
        <v/>
      </c>
      <c r="Z10" s="59" t="str">
        <f t="shared" si="11"/>
        <v/>
      </c>
      <c r="AA10" s="59" t="str">
        <f t="shared" si="11"/>
        <v/>
      </c>
      <c r="AB10" s="59" t="str">
        <f t="shared" si="11"/>
        <v/>
      </c>
      <c r="AC10" s="59" t="str">
        <f t="shared" si="11"/>
        <v/>
      </c>
      <c r="AD10" s="59" t="str">
        <f t="shared" si="11"/>
        <v>X</v>
      </c>
      <c r="AE10" s="59" t="str">
        <f t="shared" si="19"/>
        <v/>
      </c>
      <c r="AF10" s="59" t="str">
        <f t="shared" si="19"/>
        <v/>
      </c>
      <c r="AG10" s="59" t="str">
        <f t="shared" si="19"/>
        <v/>
      </c>
      <c r="AH10" s="67" t="str">
        <f t="shared" si="19"/>
        <v/>
      </c>
      <c r="AI10" s="67" t="str">
        <f>IF(OR(AI$3/$S10=1,AI$3/$S10=2,AI$3/$S10=3,AI$3/$S10=4,AI$3/$S10=5,AI$3/$S10=6,AI$3/$S10=7,AI$3/$S10=8,AI$3/$S10=9,AI$3/$S10=10,AI$3/$S10=11,AI$3/$S10=12,AI$3/$S10=13,AI$3/$S10=14,AI$3/$S10=15,AI$3/$S10=16,AI$3/$S10=17,AI$3/$S10=18,AI$3/$S10=19,AI$3/$S10=20,AI$3/$S10=21,AI$3/$S10=22,AI$3/$S10=23,AI$3/$S10=24,AI$3/$S10=25,AI$3/$S10=26,AI$3/$S10=27,AI$3/$S10=28,AI$3/$S10=29,AI$3/$S10=30,AI$3/$S10=31,AI$3/$S10=32,AI$3/$S10=33),"X","")</f>
        <v/>
      </c>
      <c r="AJ10" s="67" t="str">
        <f>IF(OR(AJ$3/$S10=1,AJ$3/$S10=2,AJ$3/$S10=3,AJ$3/$S10=4,AJ$3/$S10=5,AJ$3/$S10=6,AJ$3/$S10=7,AJ$3/$S10=8,AJ$3/$S10=9,AJ$3/$S10=10,AJ$3/$S10=11,AJ$3/$S10=12,AJ$3/$S10=13,AJ$3/$S10=14,AJ$3/$S10=15,AJ$3/$S10=16,AJ$3/$S10=17,AJ$3/$S10=18,AJ$3/$S10=19,AJ$3/$S10=20,AJ$3/$S10=21,AJ$3/$S10=22,AJ$3/$S10=23,AJ$3/$S10=24,AJ$3/$S10=25,AJ$3/$S10=26,AJ$3/$S10=27,AJ$3/$S10=28,AJ$3/$S10=29,AJ$3/$S10=30,AJ$3/$S10=31,AJ$3/$S10=32,AJ$3/$S10=33),"X","")</f>
        <v/>
      </c>
      <c r="AK10" s="67" t="str">
        <f t="shared" si="20"/>
        <v/>
      </c>
      <c r="AL10" s="67" t="str">
        <f t="shared" si="20"/>
        <v/>
      </c>
      <c r="AM10" s="67" t="s">
        <v>202</v>
      </c>
      <c r="AN10" s="67"/>
      <c r="AO10" s="67" t="str">
        <f t="shared" ref="AO10:AP14" si="22">IF(OR(AO$3/$S10=1,AO$3/$S10=2,AO$3/$S10=3,AO$3/$S10=4,AO$3/$S10=5,AO$3/$S10=6,AO$3/$S10=7,AO$3/$S10=8,AO$3/$S10=9,AO$3/$S10=10,AO$3/$S10=11,AO$3/$S10=12,AO$3/$S10=13,AO$3/$S10=14,AO$3/$S10=15,AO$3/$S10=16,AO$3/$S10=17,AO$3/$S10=18,AO$3/$S10=19,AO$3/$S10=20,AO$3/$S10=21,AO$3/$S10=22,AO$3/$S10=23,AO$3/$S10=24,AO$3/$S10=25,AO$3/$S10=26,AO$3/$S10=27,AO$3/$S10=28,AO$3/$S10=29,AO$3/$S10=30,AO$3/$S10=31,AO$3/$S10=32,AO$3/$S10=33),"X","")</f>
        <v/>
      </c>
      <c r="AP10" s="67" t="str">
        <f t="shared" si="22"/>
        <v/>
      </c>
      <c r="AQ10" s="67" t="str">
        <f t="shared" si="21"/>
        <v/>
      </c>
      <c r="AR10" s="67" t="str">
        <f t="shared" ref="AR10:AV18" si="23">IF(OR(AR$3/$S10=1,AR$3/$S10=2,AR$3/$S10=3,AR$3/$S10=4,AR$3/$S10=5,AR$3/$S10=6,AR$3/$S10=7,AR$3/$S10=8,AR$3/$S10=9,AR$3/$S10=10,AR$3/$S10=11,AR$3/$S10=12,AR$3/$S10=13,AR$3/$S10=14,AR$3/$S10=15,AR$3/$S10=16,AR$3/$S10=17,AR$3/$S10=18,AR$3/$S10=19,AR$3/$S10=20,AR$3/$S10=21,AR$3/$S10=22,AR$3/$S10=23,AR$3/$S10=24,AR$3/$S10=25,AR$3/$S10=26,AR$3/$S10=27,AR$3/$S10=28,AR$3/$S10=29,AR$3/$S10=30,AR$3/$S10=31,AR$3/$S10=32,AR$3/$S10=33),"X","")</f>
        <v/>
      </c>
      <c r="AS10" s="67" t="str">
        <f t="shared" si="23"/>
        <v/>
      </c>
      <c r="AT10" s="67" t="str">
        <f t="shared" si="23"/>
        <v/>
      </c>
      <c r="AU10" s="68" t="str">
        <f t="shared" si="23"/>
        <v/>
      </c>
      <c r="AV10" s="68" t="str">
        <f t="shared" si="23"/>
        <v/>
      </c>
      <c r="AW10" s="68" t="s">
        <v>202</v>
      </c>
      <c r="AX10" s="68"/>
      <c r="AY10" s="68" t="s">
        <v>202</v>
      </c>
      <c r="AZ10" s="68" t="str">
        <f>IF(OR(AZ$3/$S10=1,AZ$3/$S10=2,AZ$3/$S10=3,AZ$3/$S10=4,AZ$3/$S10=5,AZ$3/$S10=6,AZ$3/$S10=7,AZ$3/$S10=8,AZ$3/$S10=9,AZ$3/$S10=10,AZ$3/$S10=11,AZ$3/$S10=12,AZ$3/$S10=13,AZ$3/$S10=14,AZ$3/$S10=15,AZ$3/$S10=16,AZ$3/$S10=17,AZ$3/$S10=18,AZ$3/$S10=19,AZ$3/$S10=20,AZ$3/$S10=21,AZ$3/$S10=22,AZ$3/$S10=23,AZ$3/$S10=24,AZ$3/$S10=25,AZ$3/$S10=26,AZ$3/$S10=27,AZ$3/$S10=28,AZ$3/$S10=29,AZ$3/$S10=30,AZ$3/$S10=31,AZ$3/$S10=32,AZ$3/$S10=33),"X","")</f>
        <v/>
      </c>
      <c r="BA10" s="68" t="str">
        <f>IF(OR(BA$3/$S10=1,BA$3/$S10=2,BA$3/$S10=3,BA$3/$S10=4,BA$3/$S10=5,BA$3/$S10=6,BA$3/$S10=7,BA$3/$S10=8,BA$3/$S10=9,BA$3/$S10=10,BA$3/$S10=11,BA$3/$S10=12,BA$3/$S10=13,BA$3/$S10=14,BA$3/$S10=15,BA$3/$S10=16,BA$3/$S10=17,BA$3/$S10=18,BA$3/$S10=19,BA$3/$S10=20,BA$3/$S10=21,BA$3/$S10=22,BA$3/$S10=23,BA$3/$S10=24,BA$3/$S10=25,BA$3/$S10=26,BA$3/$S10=27,BA$3/$S10=28,BA$3/$S10=29,BA$3/$S10=30,BA$3/$S10=31,BA$3/$S10=32,BA$3/$S10=33),"X","")</f>
        <v/>
      </c>
      <c r="CH10" s="60"/>
      <c r="CI10" s="60"/>
    </row>
    <row r="11" spans="1:87" s="46" customFormat="1" ht="21" customHeight="1">
      <c r="A11" s="83">
        <v>1</v>
      </c>
      <c r="B11" s="58">
        <v>5202424</v>
      </c>
      <c r="C11" s="27" t="s">
        <v>86</v>
      </c>
      <c r="D11" s="78" t="s">
        <v>49</v>
      </c>
      <c r="E11" s="64">
        <v>6</v>
      </c>
      <c r="F11" s="30">
        <f>VLOOKUP(B11,'Estampados por manguera'!A$2:B$500,2,FALSE)</f>
        <v>2</v>
      </c>
      <c r="G11" s="30">
        <f t="shared" si="0"/>
        <v>12</v>
      </c>
      <c r="H11" s="32">
        <v>6</v>
      </c>
      <c r="I11" s="30">
        <f t="shared" si="1"/>
        <v>72</v>
      </c>
      <c r="J11" s="32">
        <f t="shared" si="2"/>
        <v>180</v>
      </c>
      <c r="K11" s="30">
        <f t="shared" si="3"/>
        <v>252</v>
      </c>
      <c r="L11" s="32">
        <v>1215</v>
      </c>
      <c r="M11" s="30">
        <f>VLOOKUP(B11,'Mangueras por contenedor'!A$2:B$500,2,FALSE)</f>
        <v>30</v>
      </c>
      <c r="N11" s="45">
        <f t="shared" si="4"/>
        <v>0.2</v>
      </c>
      <c r="O11" s="11">
        <f t="shared" si="5"/>
        <v>4</v>
      </c>
      <c r="P11" s="32">
        <f t="shared" si="6"/>
        <v>360</v>
      </c>
      <c r="Q11" s="32">
        <f t="shared" si="7"/>
        <v>4</v>
      </c>
      <c r="R11" s="32">
        <f t="shared" si="8"/>
        <v>1440</v>
      </c>
      <c r="S11" s="32">
        <f t="shared" si="9"/>
        <v>16</v>
      </c>
      <c r="T11" s="32">
        <f t="shared" si="10"/>
        <v>120</v>
      </c>
      <c r="U11" s="59" t="str">
        <f t="shared" si="11"/>
        <v/>
      </c>
      <c r="V11" s="59" t="str">
        <f t="shared" si="11"/>
        <v/>
      </c>
      <c r="W11" s="59" t="str">
        <f t="shared" si="11"/>
        <v/>
      </c>
      <c r="X11" s="59" t="str">
        <f t="shared" si="11"/>
        <v/>
      </c>
      <c r="Y11" s="59" t="str">
        <f t="shared" si="11"/>
        <v/>
      </c>
      <c r="Z11" s="59" t="str">
        <f t="shared" si="11"/>
        <v/>
      </c>
      <c r="AA11" s="59" t="str">
        <f t="shared" si="11"/>
        <v/>
      </c>
      <c r="AB11" s="59" t="str">
        <f t="shared" si="11"/>
        <v/>
      </c>
      <c r="AC11" s="59" t="str">
        <f t="shared" si="11"/>
        <v/>
      </c>
      <c r="AD11" s="59" t="str">
        <f t="shared" si="11"/>
        <v/>
      </c>
      <c r="AE11" s="59" t="str">
        <f t="shared" si="19"/>
        <v/>
      </c>
      <c r="AF11" s="59" t="str">
        <f t="shared" si="19"/>
        <v/>
      </c>
      <c r="AG11" s="59" t="str">
        <f t="shared" si="19"/>
        <v/>
      </c>
      <c r="AH11" s="67" t="str">
        <f t="shared" si="19"/>
        <v/>
      </c>
      <c r="AI11" s="67" t="str">
        <f>IF(OR(AI$3/$S11=1,AI$3/$S11=2,AI$3/$S11=3,AI$3/$S11=4,AI$3/$S11=5,AI$3/$S11=6,AI$3/$S11=7,AI$3/$S11=8,AI$3/$S11=9,AI$3/$S11=10,AI$3/$S11=11,AI$3/$S11=12,AI$3/$S11=13,AI$3/$S11=14,AI$3/$S11=15,AI$3/$S11=16,AI$3/$S11=17,AI$3/$S11=18,AI$3/$S11=19,AI$3/$S11=20,AI$3/$S11=21,AI$3/$S11=22,AI$3/$S11=23,AI$3/$S11=24,AI$3/$S11=25,AI$3/$S11=26,AI$3/$S11=27,AI$3/$S11=28,AI$3/$S11=29,AI$3/$S11=30,AI$3/$S11=31,AI$3/$S11=32,AI$3/$S11=33),"X","")</f>
        <v/>
      </c>
      <c r="AJ11" s="67" t="str">
        <f>IF(OR(AJ$3/$S11=1,AJ$3/$S11=2,AJ$3/$S11=3,AJ$3/$S11=4,AJ$3/$S11=5,AJ$3/$S11=6,AJ$3/$S11=7,AJ$3/$S11=8,AJ$3/$S11=9,AJ$3/$S11=10,AJ$3/$S11=11,AJ$3/$S11=12,AJ$3/$S11=13,AJ$3/$S11=14,AJ$3/$S11=15,AJ$3/$S11=16,AJ$3/$S11=17,AJ$3/$S11=18,AJ$3/$S11=19,AJ$3/$S11=20,AJ$3/$S11=21,AJ$3/$S11=22,AJ$3/$S11=23,AJ$3/$S11=24,AJ$3/$S11=25,AJ$3/$S11=26,AJ$3/$S11=27,AJ$3/$S11=28,AJ$3/$S11=29,AJ$3/$S11=30,AJ$3/$S11=31,AJ$3/$S11=32,AJ$3/$S11=33),"X","")</f>
        <v>X</v>
      </c>
      <c r="AK11" s="67" t="str">
        <f t="shared" si="20"/>
        <v/>
      </c>
      <c r="AL11" s="67" t="str">
        <f t="shared" si="20"/>
        <v/>
      </c>
      <c r="AM11" s="67" t="str">
        <f>IF(OR(AM$3/$S11=1,AM$3/$S11=2,AM$3/$S11=3,AM$3/$S11=4,AM$3/$S11=5,AM$3/$S11=6,AM$3/$S11=7,AM$3/$S11=8,AM$3/$S11=9,AM$3/$S11=10,AM$3/$S11=11,AM$3/$S11=12,AM$3/$S11=13,AM$3/$S11=14,AM$3/$S11=15,AM$3/$S11=16,AM$3/$S11=17,AM$3/$S11=18,AM$3/$S11=19,AM$3/$S11=20,AM$3/$S11=21,AM$3/$S11=22,AM$3/$S11=23,AM$3/$S11=24,AM$3/$S11=25,AM$3/$S11=26,AM$3/$S11=27,AM$3/$S11=28,AM$3/$S11=29,AM$3/$S11=30,AM$3/$S11=31,AM$3/$S11=32,AM$3/$S11=33),"X","")</f>
        <v/>
      </c>
      <c r="AN11" s="67" t="str">
        <f>IF(OR(AN$3/$S11=1,AN$3/$S11=2,AN$3/$S11=3,AN$3/$S11=4,AN$3/$S11=5,AN$3/$S11=6,AN$3/$S11=7,AN$3/$S11=8,AN$3/$S11=9,AN$3/$S11=10,AN$3/$S11=11,AN$3/$S11=12,AN$3/$S11=13,AN$3/$S11=14,AN$3/$S11=15,AN$3/$S11=16,AN$3/$S11=17,AN$3/$S11=18,AN$3/$S11=19,AN$3/$S11=20,AN$3/$S11=21,AN$3/$S11=22,AN$3/$S11=23,AN$3/$S11=24,AN$3/$S11=25,AN$3/$S11=26,AN$3/$S11=27,AN$3/$S11=28,AN$3/$S11=29,AN$3/$S11=30,AN$3/$S11=31,AN$3/$S11=32,AN$3/$S11=33),"X","")</f>
        <v/>
      </c>
      <c r="AO11" s="67" t="str">
        <f t="shared" si="22"/>
        <v/>
      </c>
      <c r="AP11" s="67" t="str">
        <f t="shared" si="22"/>
        <v/>
      </c>
      <c r="AQ11" s="67" t="str">
        <f t="shared" si="21"/>
        <v/>
      </c>
      <c r="AR11" s="67" t="str">
        <f t="shared" si="23"/>
        <v/>
      </c>
      <c r="AS11" s="67" t="str">
        <f t="shared" si="23"/>
        <v/>
      </c>
      <c r="AT11" s="67" t="str">
        <f t="shared" si="23"/>
        <v/>
      </c>
      <c r="AU11" s="68" t="str">
        <f t="shared" si="23"/>
        <v/>
      </c>
      <c r="AV11" s="68" t="str">
        <f t="shared" si="23"/>
        <v/>
      </c>
      <c r="AW11" s="68" t="str">
        <f>IF(OR(AW$3/$S11=1,AW$3/$S11=2,AW$3/$S11=3,AW$3/$S11=4,AW$3/$S11=5,AW$3/$S11=6,AW$3/$S11=7,AW$3/$S11=8,AW$3/$S11=9,AW$3/$S11=10,AW$3/$S11=11,AW$3/$S11=12,AW$3/$S11=13,AW$3/$S11=14,AW$3/$S11=15,AW$3/$S11=16,AW$3/$S11=17,AW$3/$S11=18,AW$3/$S11=19,AW$3/$S11=20,AW$3/$S11=21,AW$3/$S11=22,AW$3/$S11=23,AW$3/$S11=24,AW$3/$S11=25,AW$3/$S11=26,AW$3/$S11=27,AW$3/$S11=28,AW$3/$S11=29,AW$3/$S11=30,AW$3/$S11=31,AW$3/$S11=32,AW$3/$S11=33),"X","")</f>
        <v/>
      </c>
      <c r="AX11" s="68" t="str">
        <f>IF(OR(AX$3/$S11=1,AX$3/$S11=2,AX$3/$S11=3,AX$3/$S11=4,AX$3/$S11=5,AX$3/$S11=6,AX$3/$S11=7,AX$3/$S11=8,AX$3/$S11=9,AX$3/$S11=10,AX$3/$S11=11,AX$3/$S11=12,AX$3/$S11=13,AX$3/$S11=14,AX$3/$S11=15,AX$3/$S11=16,AX$3/$S11=17,AX$3/$S11=18,AX$3/$S11=19,AX$3/$S11=20,AX$3/$S11=21,AX$3/$S11=22,AX$3/$S11=23,AX$3/$S11=24,AX$3/$S11=25,AX$3/$S11=26,AX$3/$S11=27,AX$3/$S11=28,AX$3/$S11=29,AX$3/$S11=30,AX$3/$S11=31,AX$3/$S11=32,AX$3/$S11=33),"X","")</f>
        <v/>
      </c>
      <c r="AY11" s="68" t="str">
        <f>IF(OR(AY$3/$S11=1,AY$3/$S11=2,AY$3/$S11=3,AY$3/$S11=4,AY$3/$S11=5,AY$3/$S11=6,AY$3/$S11=7,AY$3/$S11=8,AY$3/$S11=9,AY$3/$S11=10,AY$3/$S11=11,AY$3/$S11=12,AY$3/$S11=13,AY$3/$S11=14,AY$3/$S11=15,AY$3/$S11=16,AY$3/$S11=17,AY$3/$S11=18,AY$3/$S11=19,AY$3/$S11=20,AY$3/$S11=21,AY$3/$S11=22,AY$3/$S11=23,AY$3/$S11=24,AY$3/$S11=25,AY$3/$S11=26,AY$3/$S11=27,AY$3/$S11=28,AY$3/$S11=29,AY$3/$S11=30,AY$3/$S11=31,AY$3/$S11=32,AY$3/$S11=33),"X","")</f>
        <v/>
      </c>
      <c r="AZ11" s="68"/>
      <c r="BA11" s="68" t="str">
        <f>IF(OR(BA$3/$S11=1,BA$3/$S11=2,BA$3/$S11=3,BA$3/$S11=4,BA$3/$S11=5,BA$3/$S11=6,BA$3/$S11=7,BA$3/$S11=8,BA$3/$S11=9,BA$3/$S11=10,BA$3/$S11=11,BA$3/$S11=12,BA$3/$S11=13,BA$3/$S11=14,BA$3/$S11=15,BA$3/$S11=16,BA$3/$S11=17,BA$3/$S11=18,BA$3/$S11=19,BA$3/$S11=20,BA$3/$S11=21,BA$3/$S11=22,BA$3/$S11=23,BA$3/$S11=24,BA$3/$S11=25,BA$3/$S11=26,BA$3/$S11=27,BA$3/$S11=28,BA$3/$S11=29,BA$3/$S11=30,BA$3/$S11=31,BA$3/$S11=32,BA$3/$S11=33),"X","")</f>
        <v/>
      </c>
      <c r="CH11" s="60"/>
      <c r="CI11" s="60"/>
    </row>
    <row r="12" spans="1:87" s="46" customFormat="1" ht="21" customHeight="1">
      <c r="A12" s="83">
        <v>1</v>
      </c>
      <c r="B12" s="58">
        <v>5301010</v>
      </c>
      <c r="C12" s="27" t="s">
        <v>45</v>
      </c>
      <c r="D12" s="78" t="s">
        <v>51</v>
      </c>
      <c r="E12" s="64">
        <v>2</v>
      </c>
      <c r="F12" s="30">
        <f>VLOOKUP(B12,'Estampados por manguera'!A$2:B$500,2,FALSE)</f>
        <v>1</v>
      </c>
      <c r="G12" s="30">
        <f t="shared" si="0"/>
        <v>2</v>
      </c>
      <c r="H12" s="32">
        <v>6</v>
      </c>
      <c r="I12" s="30">
        <f t="shared" si="1"/>
        <v>12</v>
      </c>
      <c r="J12" s="32">
        <f t="shared" si="2"/>
        <v>180</v>
      </c>
      <c r="K12" s="30">
        <f t="shared" si="3"/>
        <v>192</v>
      </c>
      <c r="L12" s="32">
        <v>1200</v>
      </c>
      <c r="M12" s="30">
        <f>VLOOKUP(B12,'Mangueras por contenedor'!A$2:B$500,2,FALSE)</f>
        <v>40</v>
      </c>
      <c r="N12" s="45">
        <f t="shared" si="4"/>
        <v>0.05</v>
      </c>
      <c r="O12" s="11">
        <f t="shared" si="5"/>
        <v>16</v>
      </c>
      <c r="P12" s="32">
        <f t="shared" si="6"/>
        <v>240</v>
      </c>
      <c r="Q12" s="32">
        <v>1</v>
      </c>
      <c r="R12" s="32">
        <f t="shared" si="8"/>
        <v>240</v>
      </c>
      <c r="S12" s="32">
        <f t="shared" si="9"/>
        <v>16</v>
      </c>
      <c r="T12" s="32">
        <f t="shared" si="10"/>
        <v>40</v>
      </c>
      <c r="U12" s="59" t="str">
        <f t="shared" si="11"/>
        <v/>
      </c>
      <c r="V12" s="59" t="str">
        <f t="shared" si="11"/>
        <v/>
      </c>
      <c r="W12" s="59" t="str">
        <f t="shared" si="11"/>
        <v/>
      </c>
      <c r="X12" s="59" t="str">
        <f t="shared" si="11"/>
        <v/>
      </c>
      <c r="Y12" s="59" t="str">
        <f t="shared" si="11"/>
        <v/>
      </c>
      <c r="Z12" s="59" t="str">
        <f t="shared" si="11"/>
        <v/>
      </c>
      <c r="AA12" s="59" t="str">
        <f t="shared" si="11"/>
        <v/>
      </c>
      <c r="AB12" s="59" t="str">
        <f t="shared" si="11"/>
        <v/>
      </c>
      <c r="AC12" s="59" t="str">
        <f t="shared" si="11"/>
        <v/>
      </c>
      <c r="AD12" s="59" t="str">
        <f t="shared" si="11"/>
        <v/>
      </c>
      <c r="AE12" s="59" t="str">
        <f t="shared" si="19"/>
        <v/>
      </c>
      <c r="AF12" s="59" t="str">
        <f t="shared" si="19"/>
        <v/>
      </c>
      <c r="AG12" s="59" t="str">
        <f t="shared" si="19"/>
        <v/>
      </c>
      <c r="AH12" s="67" t="str">
        <f t="shared" si="19"/>
        <v/>
      </c>
      <c r="AI12" s="67" t="str">
        <f t="shared" ref="AI12:AI30" si="24">IF(OR(AI$3/$S12=1,AI$3/$S12=2,AI$3/$S12=3,AI$3/$S12=4,AI$3/$S12=5,AI$3/$S12=6,AI$3/$S12=7,AI$3/$S12=8,AI$3/$S12=9,AI$3/$S12=10,AI$3/$S12=11,AI$3/$S12=12,AI$3/$S12=13,AI$3/$S12=14,AI$3/$S12=15,AI$3/$S12=16,AI$3/$S12=17,AI$3/$S12=18,AI$3/$S12=19,AI$3/$S12=20,AI$3/$S12=21,AI$3/$S12=22,AI$3/$S12=23,AI$3/$S12=24,AI$3/$S12=25,AI$3/$S12=26,AI$3/$S12=27,AI$3/$S12=28,AI$3/$S12=29,AI$3/$S12=30,AI$3/$S12=31,AI$3/$S12=32,AI$3/$S12=33),"X","")</f>
        <v/>
      </c>
      <c r="AJ12" s="67"/>
      <c r="AK12" s="67" t="s">
        <v>202</v>
      </c>
      <c r="AL12" s="67" t="str">
        <f t="shared" ref="AL12:AL30" si="25">IF(OR(AL$3/$S12=1,AL$3/$S12=2,AL$3/$S12=3,AL$3/$S12=4,AL$3/$S12=5,AL$3/$S12=6,AL$3/$S12=7,AL$3/$S12=8,AL$3/$S12=9,AL$3/$S12=10,AL$3/$S12=11,AL$3/$S12=12,AL$3/$S12=13,AL$3/$S12=14,AL$3/$S12=15,AL$3/$S12=16,AL$3/$S12=17,AL$3/$S12=18,AL$3/$S12=19,AL$3/$S12=20,AL$3/$S12=21,AL$3/$S12=22,AL$3/$S12=23,AL$3/$S12=24,AL$3/$S12=25,AL$3/$S12=26,AL$3/$S12=27,AL$3/$S12=28,AL$3/$S12=29,AL$3/$S12=30,AL$3/$S12=31,AL$3/$S12=32,AL$3/$S12=33),"X","")</f>
        <v/>
      </c>
      <c r="AM12" s="67" t="str">
        <f>IF(OR(AM$3/$S12=1,AM$3/$S12=2,AM$3/$S12=3,AM$3/$S12=4,AM$3/$S12=5,AM$3/$S12=6,AM$3/$S12=7,AM$3/$S12=8,AM$3/$S12=9,AM$3/$S12=10,AM$3/$S12=11,AM$3/$S12=12,AM$3/$S12=13,AM$3/$S12=14,AM$3/$S12=15,AM$3/$S12=16,AM$3/$S12=17,AM$3/$S12=18,AM$3/$S12=19,AM$3/$S12=20,AM$3/$S12=21,AM$3/$S12=22,AM$3/$S12=23,AM$3/$S12=24,AM$3/$S12=25,AM$3/$S12=26,AM$3/$S12=27,AM$3/$S12=28,AM$3/$S12=29,AM$3/$S12=30,AM$3/$S12=31,AM$3/$S12=32,AM$3/$S12=33),"X","")</f>
        <v/>
      </c>
      <c r="AN12" s="67" t="str">
        <f>IF(OR(AN$3/$S12=1,AN$3/$S12=2,AN$3/$S12=3,AN$3/$S12=4,AN$3/$S12=5,AN$3/$S12=6,AN$3/$S12=7,AN$3/$S12=8,AN$3/$S12=9,AN$3/$S12=10,AN$3/$S12=11,AN$3/$S12=12,AN$3/$S12=13,AN$3/$S12=14,AN$3/$S12=15,AN$3/$S12=16,AN$3/$S12=17,AN$3/$S12=18,AN$3/$S12=19,AN$3/$S12=20,AN$3/$S12=21,AN$3/$S12=22,AN$3/$S12=23,AN$3/$S12=24,AN$3/$S12=25,AN$3/$S12=26,AN$3/$S12=27,AN$3/$S12=28,AN$3/$S12=29,AN$3/$S12=30,AN$3/$S12=31,AN$3/$S12=32,AN$3/$S12=33),"X","")</f>
        <v/>
      </c>
      <c r="AO12" s="67" t="str">
        <f t="shared" si="22"/>
        <v/>
      </c>
      <c r="AP12" s="67" t="str">
        <f t="shared" si="22"/>
        <v/>
      </c>
      <c r="AQ12" s="67" t="str">
        <f t="shared" si="21"/>
        <v/>
      </c>
      <c r="AR12" s="67" t="str">
        <f t="shared" si="23"/>
        <v/>
      </c>
      <c r="AS12" s="67" t="str">
        <f t="shared" si="23"/>
        <v/>
      </c>
      <c r="AT12" s="67" t="str">
        <f t="shared" si="23"/>
        <v/>
      </c>
      <c r="AU12" s="68" t="str">
        <f t="shared" si="23"/>
        <v/>
      </c>
      <c r="AV12" s="68" t="str">
        <f t="shared" si="23"/>
        <v/>
      </c>
      <c r="AW12" s="68" t="str">
        <f t="shared" ref="AW12:AX30" si="26">IF(OR(AW$3/$S12=1,AW$3/$S12=2,AW$3/$S12=3,AW$3/$S12=4,AW$3/$S12=5,AW$3/$S12=6,AW$3/$S12=7,AW$3/$S12=8,AW$3/$S12=9,AW$3/$S12=10,AW$3/$S12=11,AW$3/$S12=12,AW$3/$S12=13,AW$3/$S12=14,AW$3/$S12=15,AW$3/$S12=16,AW$3/$S12=17,AW$3/$S12=18,AW$3/$S12=19,AW$3/$S12=20,AW$3/$S12=21,AW$3/$S12=22,AW$3/$S12=23,AW$3/$S12=24,AW$3/$S12=25,AW$3/$S12=26,AW$3/$S12=27,AW$3/$S12=28,AW$3/$S12=29,AW$3/$S12=30,AW$3/$S12=31,AW$3/$S12=32,AW$3/$S12=33),"X","")</f>
        <v/>
      </c>
      <c r="AX12" s="68" t="str">
        <f t="shared" si="26"/>
        <v/>
      </c>
      <c r="AY12" s="68" t="s">
        <v>202</v>
      </c>
      <c r="AZ12" s="68"/>
      <c r="BA12" s="68" t="str">
        <f>IF(OR(BA$3/$S12=1,BA$3/$S12=2,BA$3/$S12=3,BA$3/$S12=4,BA$3/$S12=5,BA$3/$S12=6,BA$3/$S12=7,BA$3/$S12=8,BA$3/$S12=9,BA$3/$S12=10,BA$3/$S12=11,BA$3/$S12=12,BA$3/$S12=13,BA$3/$S12=14,BA$3/$S12=15,BA$3/$S12=16,BA$3/$S12=17,BA$3/$S12=18,BA$3/$S12=19,BA$3/$S12=20,BA$3/$S12=21,BA$3/$S12=22,BA$3/$S12=23,BA$3/$S12=24,BA$3/$S12=25,BA$3/$S12=26,BA$3/$S12=27,BA$3/$S12=28,BA$3/$S12=29,BA$3/$S12=30,BA$3/$S12=31,BA$3/$S12=32,BA$3/$S12=33),"X","")</f>
        <v/>
      </c>
      <c r="CH12" s="60"/>
      <c r="CI12" s="60"/>
    </row>
    <row r="13" spans="1:87" s="46" customFormat="1" ht="21" customHeight="1">
      <c r="A13" s="83">
        <v>1</v>
      </c>
      <c r="B13" s="58">
        <v>3168757</v>
      </c>
      <c r="C13" s="27" t="s">
        <v>36</v>
      </c>
      <c r="D13" s="86" t="s">
        <v>49</v>
      </c>
      <c r="E13" s="64">
        <v>4</v>
      </c>
      <c r="F13" s="30">
        <f>VLOOKUP(B13,'Estampados por manguera'!A$2:B$500,2,FALSE)</f>
        <v>2</v>
      </c>
      <c r="G13" s="30">
        <f t="shared" si="0"/>
        <v>8</v>
      </c>
      <c r="H13" s="32">
        <v>6</v>
      </c>
      <c r="I13" s="30">
        <f t="shared" si="1"/>
        <v>48</v>
      </c>
      <c r="J13" s="32">
        <f t="shared" si="2"/>
        <v>180</v>
      </c>
      <c r="K13" s="30">
        <f t="shared" si="3"/>
        <v>228</v>
      </c>
      <c r="L13" s="32">
        <v>1200</v>
      </c>
      <c r="M13" s="30">
        <f>VLOOKUP(B13,'Mangueras por contenedor'!A$2:B$500,2,FALSE)</f>
        <v>93</v>
      </c>
      <c r="N13" s="45">
        <f t="shared" si="4"/>
        <v>4.3010752688172046E-2</v>
      </c>
      <c r="O13" s="11">
        <f t="shared" si="5"/>
        <v>19</v>
      </c>
      <c r="P13" s="32">
        <f t="shared" si="6"/>
        <v>1116</v>
      </c>
      <c r="Q13" s="32">
        <f>IF(M13&gt;=60,1,IF((M13*2)&gt;=60,2,IF((M13*3)&gt;=60,3,IF((M13*4)&gt;=60,4,5))))</f>
        <v>1</v>
      </c>
      <c r="R13" s="32">
        <f t="shared" si="8"/>
        <v>1116</v>
      </c>
      <c r="S13" s="32">
        <f t="shared" si="9"/>
        <v>19</v>
      </c>
      <c r="T13" s="32">
        <f t="shared" si="10"/>
        <v>93</v>
      </c>
      <c r="U13" s="59" t="str">
        <f t="shared" si="11"/>
        <v/>
      </c>
      <c r="V13" s="59" t="str">
        <f t="shared" si="11"/>
        <v/>
      </c>
      <c r="W13" s="59" t="str">
        <f t="shared" si="11"/>
        <v/>
      </c>
      <c r="X13" s="59" t="str">
        <f t="shared" si="11"/>
        <v/>
      </c>
      <c r="Y13" s="59" t="str">
        <f t="shared" si="11"/>
        <v/>
      </c>
      <c r="Z13" s="59" t="str">
        <f t="shared" si="11"/>
        <v/>
      </c>
      <c r="AA13" s="59" t="str">
        <f t="shared" si="11"/>
        <v/>
      </c>
      <c r="AB13" s="59" t="str">
        <f t="shared" si="11"/>
        <v/>
      </c>
      <c r="AC13" s="59" t="str">
        <f t="shared" si="11"/>
        <v/>
      </c>
      <c r="AD13" s="59" t="str">
        <f t="shared" si="11"/>
        <v/>
      </c>
      <c r="AE13" s="59" t="str">
        <f t="shared" si="19"/>
        <v/>
      </c>
      <c r="AF13" s="59" t="str">
        <f t="shared" si="19"/>
        <v/>
      </c>
      <c r="AG13" s="59" t="str">
        <f t="shared" si="19"/>
        <v/>
      </c>
      <c r="AH13" s="67" t="str">
        <f t="shared" si="19"/>
        <v/>
      </c>
      <c r="AI13" s="67" t="str">
        <f t="shared" si="24"/>
        <v/>
      </c>
      <c r="AJ13" s="67" t="str">
        <f t="shared" ref="AJ13:AJ30" si="27">IF(OR(AJ$3/$S13=1,AJ$3/$S13=2,AJ$3/$S13=3,AJ$3/$S13=4,AJ$3/$S13=5,AJ$3/$S13=6,AJ$3/$S13=7,AJ$3/$S13=8,AJ$3/$S13=9,AJ$3/$S13=10,AJ$3/$S13=11,AJ$3/$S13=12,AJ$3/$S13=13,AJ$3/$S13=14,AJ$3/$S13=15,AJ$3/$S13=16,AJ$3/$S13=17,AJ$3/$S13=18,AJ$3/$S13=19,AJ$3/$S13=20,AJ$3/$S13=21,AJ$3/$S13=22,AJ$3/$S13=23,AJ$3/$S13=24,AJ$3/$S13=25,AJ$3/$S13=26,AJ$3/$S13=27,AJ$3/$S13=28,AJ$3/$S13=29,AJ$3/$S13=30,AJ$3/$S13=31,AJ$3/$S13=32,AJ$3/$S13=33),"X","")</f>
        <v/>
      </c>
      <c r="AK13" s="67" t="s">
        <v>202</v>
      </c>
      <c r="AL13" s="67" t="str">
        <f t="shared" si="25"/>
        <v/>
      </c>
      <c r="AM13" s="67"/>
      <c r="AN13" s="67" t="str">
        <f>IF(OR(AN$3/$S13=1,AN$3/$S13=2,AN$3/$S13=3,AN$3/$S13=4,AN$3/$S13=5,AN$3/$S13=6,AN$3/$S13=7,AN$3/$S13=8,AN$3/$S13=9,AN$3/$S13=10,AN$3/$S13=11,AN$3/$S13=12,AN$3/$S13=13,AN$3/$S13=14,AN$3/$S13=15,AN$3/$S13=16,AN$3/$S13=17,AN$3/$S13=18,AN$3/$S13=19,AN$3/$S13=20,AN$3/$S13=21,AN$3/$S13=22,AN$3/$S13=23,AN$3/$S13=24,AN$3/$S13=25,AN$3/$S13=26,AN$3/$S13=27,AN$3/$S13=28,AN$3/$S13=29,AN$3/$S13=30,AN$3/$S13=31,AN$3/$S13=32,AN$3/$S13=33),"X","")</f>
        <v/>
      </c>
      <c r="AO13" s="67" t="str">
        <f t="shared" si="22"/>
        <v/>
      </c>
      <c r="AP13" s="67" t="str">
        <f t="shared" si="22"/>
        <v/>
      </c>
      <c r="AQ13" s="67" t="str">
        <f t="shared" si="21"/>
        <v/>
      </c>
      <c r="AR13" s="67" t="str">
        <f t="shared" si="23"/>
        <v/>
      </c>
      <c r="AS13" s="67" t="str">
        <f t="shared" si="23"/>
        <v/>
      </c>
      <c r="AT13" s="67" t="str">
        <f t="shared" si="23"/>
        <v/>
      </c>
      <c r="AU13" s="68" t="str">
        <f t="shared" si="23"/>
        <v/>
      </c>
      <c r="AV13" s="68" t="str">
        <f t="shared" si="23"/>
        <v/>
      </c>
      <c r="AW13" s="68" t="str">
        <f t="shared" si="26"/>
        <v/>
      </c>
      <c r="AX13" s="68" t="str">
        <f t="shared" si="26"/>
        <v/>
      </c>
      <c r="AY13" s="68" t="str">
        <f>IF(OR(AY$3/$S13=1,AY$3/$S13=2,AY$3/$S13=3,AY$3/$S13=4,AY$3/$S13=5,AY$3/$S13=6,AY$3/$S13=7,AY$3/$S13=8,AY$3/$S13=9,AY$3/$S13=10,AY$3/$S13=11,AY$3/$S13=12,AY$3/$S13=13,AY$3/$S13=14,AY$3/$S13=15,AY$3/$S13=16,AY$3/$S13=17,AY$3/$S13=18,AY$3/$S13=19,AY$3/$S13=20,AY$3/$S13=21,AY$3/$S13=22,AY$3/$S13=23,AY$3/$S13=24,AY$3/$S13=25,AY$3/$S13=26,AY$3/$S13=27,AY$3/$S13=28,AY$3/$S13=29,AY$3/$S13=30,AY$3/$S13=31,AY$3/$S13=32,AY$3/$S13=33),"X","")</f>
        <v/>
      </c>
      <c r="AZ13" s="68" t="str">
        <f>IF(OR(AZ$3/$S13=1,AZ$3/$S13=2,AZ$3/$S13=3,AZ$3/$S13=4,AZ$3/$S13=5,AZ$3/$S13=6,AZ$3/$S13=7,AZ$3/$S13=8,AZ$3/$S13=9,AZ$3/$S13=10,AZ$3/$S13=11,AZ$3/$S13=12,AZ$3/$S13=13,AZ$3/$S13=14,AZ$3/$S13=15,AZ$3/$S13=16,AZ$3/$S13=17,AZ$3/$S13=18,AZ$3/$S13=19,AZ$3/$S13=20,AZ$3/$S13=21,AZ$3/$S13=22,AZ$3/$S13=23,AZ$3/$S13=24,AZ$3/$S13=25,AZ$3/$S13=26,AZ$3/$S13=27,AZ$3/$S13=28,AZ$3/$S13=29,AZ$3/$S13=30,AZ$3/$S13=31,AZ$3/$S13=32,AZ$3/$S13=33),"X","")</f>
        <v/>
      </c>
      <c r="BA13" s="68" t="s">
        <v>202</v>
      </c>
      <c r="CH13" s="60"/>
      <c r="CI13" s="60"/>
    </row>
    <row r="14" spans="1:87" s="46" customFormat="1" ht="21" customHeight="1">
      <c r="A14" s="83">
        <v>1</v>
      </c>
      <c r="B14" s="58">
        <v>3375298</v>
      </c>
      <c r="C14" s="27" t="s">
        <v>35</v>
      </c>
      <c r="D14" s="86" t="s">
        <v>49</v>
      </c>
      <c r="E14" s="64">
        <v>5</v>
      </c>
      <c r="F14" s="30">
        <f>VLOOKUP(B14,'Estampados por manguera'!A$2:B$500,2,FALSE)</f>
        <v>1</v>
      </c>
      <c r="G14" s="30">
        <f t="shared" si="0"/>
        <v>5</v>
      </c>
      <c r="H14" s="32">
        <v>6</v>
      </c>
      <c r="I14" s="30">
        <f t="shared" si="1"/>
        <v>30</v>
      </c>
      <c r="J14" s="32">
        <f t="shared" si="2"/>
        <v>180</v>
      </c>
      <c r="K14" s="30">
        <f t="shared" si="3"/>
        <v>210</v>
      </c>
      <c r="L14" s="32">
        <v>1200</v>
      </c>
      <c r="M14" s="30">
        <f>VLOOKUP(B14,'Mangueras por contenedor'!A$2:B$500,2,FALSE)</f>
        <v>62</v>
      </c>
      <c r="N14" s="45">
        <f t="shared" si="4"/>
        <v>8.0645161290322578E-2</v>
      </c>
      <c r="O14" s="11">
        <f t="shared" si="5"/>
        <v>10</v>
      </c>
      <c r="P14" s="32">
        <f t="shared" si="6"/>
        <v>372</v>
      </c>
      <c r="Q14" s="32">
        <f>IF(M14&gt;=100,1,IF((M14*2)&gt;=100,2,IF((M14*3)&gt;=100,3,IF((M14*4)&gt;=100,4,5))))</f>
        <v>2</v>
      </c>
      <c r="R14" s="32">
        <f t="shared" si="8"/>
        <v>744</v>
      </c>
      <c r="S14" s="32">
        <f t="shared" si="9"/>
        <v>20</v>
      </c>
      <c r="T14" s="32">
        <f t="shared" si="10"/>
        <v>124</v>
      </c>
      <c r="U14" s="59" t="str">
        <f t="shared" ref="U14:AD23" si="28">IF(OR(U$3/$S14=1,U$3/$S14=2,U$3/$S14=3,U$3/$S14=4,U$3/$S14=5,U$3/$S14=6,U$3/$S14=7,U$3/$S14=8,U$3/$S14=9,U$3/$S14=10,U$3/$S14=11,U$3/$S14=12,U$3/$S14=13,U$3/$S14=14,U$3/$S14=15,U$3/$S14=16,U$3/$S14=17,U$3/$S14=18,U$3/$S14=19,U$3/$S14=20,U$3/$S14=21,U$3/$S14=22,U$3/$S14=23,U$3/$S14=24,U$3/$S14=25,U$3/$S14=26,U$3/$S14=27,U$3/$S14=28,U$3/$S14=29,U$3/$S14=30,U$3/$S14=31,U$3/$S14=32,U$3/$S14=33),"X","")</f>
        <v/>
      </c>
      <c r="V14" s="59" t="str">
        <f t="shared" si="28"/>
        <v/>
      </c>
      <c r="W14" s="59" t="str">
        <f t="shared" si="28"/>
        <v/>
      </c>
      <c r="X14" s="59" t="str">
        <f t="shared" si="28"/>
        <v/>
      </c>
      <c r="Y14" s="59" t="str">
        <f t="shared" si="28"/>
        <v/>
      </c>
      <c r="Z14" s="59" t="str">
        <f t="shared" si="28"/>
        <v/>
      </c>
      <c r="AA14" s="59" t="str">
        <f t="shared" si="28"/>
        <v/>
      </c>
      <c r="AB14" s="59" t="str">
        <f t="shared" si="28"/>
        <v/>
      </c>
      <c r="AC14" s="59" t="str">
        <f t="shared" si="28"/>
        <v/>
      </c>
      <c r="AD14" s="59" t="str">
        <f t="shared" si="28"/>
        <v/>
      </c>
      <c r="AE14" s="59" t="str">
        <f t="shared" si="19"/>
        <v/>
      </c>
      <c r="AF14" s="59" t="str">
        <f t="shared" si="19"/>
        <v/>
      </c>
      <c r="AG14" s="59" t="str">
        <f t="shared" si="19"/>
        <v/>
      </c>
      <c r="AH14" s="67" t="str">
        <f t="shared" si="19"/>
        <v/>
      </c>
      <c r="AI14" s="67" t="str">
        <f t="shared" si="24"/>
        <v/>
      </c>
      <c r="AJ14" s="67" t="str">
        <f t="shared" si="27"/>
        <v/>
      </c>
      <c r="AK14" s="67" t="str">
        <f t="shared" ref="AK14:AK30" si="29">IF(OR(AK$3/$S14=1,AK$3/$S14=2,AK$3/$S14=3,AK$3/$S14=4,AK$3/$S14=5,AK$3/$S14=6,AK$3/$S14=7,AK$3/$S14=8,AK$3/$S14=9,AK$3/$S14=10,AK$3/$S14=11,AK$3/$S14=12,AK$3/$S14=13,AK$3/$S14=14,AK$3/$S14=15,AK$3/$S14=16,AK$3/$S14=17,AK$3/$S14=18,AK$3/$S14=19,AK$3/$S14=20,AK$3/$S14=21,AK$3/$S14=22,AK$3/$S14=23,AK$3/$S14=24,AK$3/$S14=25,AK$3/$S14=26,AK$3/$S14=27,AK$3/$S14=28,AK$3/$S14=29,AK$3/$S14=30,AK$3/$S14=31,AK$3/$S14=32,AK$3/$S14=33),"X","")</f>
        <v/>
      </c>
      <c r="AL14" s="67" t="str">
        <f t="shared" si="25"/>
        <v/>
      </c>
      <c r="AM14" s="67"/>
      <c r="AN14" s="67" t="s">
        <v>202</v>
      </c>
      <c r="AO14" s="67" t="str">
        <f t="shared" si="22"/>
        <v/>
      </c>
      <c r="AP14" s="67" t="str">
        <f t="shared" si="22"/>
        <v/>
      </c>
      <c r="AQ14" s="67" t="str">
        <f t="shared" si="21"/>
        <v/>
      </c>
      <c r="AR14" s="67" t="str">
        <f t="shared" si="23"/>
        <v/>
      </c>
      <c r="AS14" s="67" t="str">
        <f t="shared" si="23"/>
        <v/>
      </c>
      <c r="AT14" s="67" t="str">
        <f t="shared" si="23"/>
        <v/>
      </c>
      <c r="AU14" s="68" t="str">
        <f t="shared" si="23"/>
        <v/>
      </c>
      <c r="AV14" s="68" t="str">
        <f t="shared" si="23"/>
        <v/>
      </c>
      <c r="AW14" s="68" t="str">
        <f t="shared" si="26"/>
        <v/>
      </c>
      <c r="AX14" s="68" t="str">
        <f t="shared" si="26"/>
        <v/>
      </c>
      <c r="AY14" s="68" t="s">
        <v>202</v>
      </c>
      <c r="AZ14" s="68" t="str">
        <f t="shared" ref="AZ14:BA20" si="30">IF(OR(AZ$3/$S14=1,AZ$3/$S14=2,AZ$3/$S14=3,AZ$3/$S14=4,AZ$3/$S14=5,AZ$3/$S14=6,AZ$3/$S14=7,AZ$3/$S14=8,AZ$3/$S14=9,AZ$3/$S14=10,AZ$3/$S14=11,AZ$3/$S14=12,AZ$3/$S14=13,AZ$3/$S14=14,AZ$3/$S14=15,AZ$3/$S14=16,AZ$3/$S14=17,AZ$3/$S14=18,AZ$3/$S14=19,AZ$3/$S14=20,AZ$3/$S14=21,AZ$3/$S14=22,AZ$3/$S14=23,AZ$3/$S14=24,AZ$3/$S14=25,AZ$3/$S14=26,AZ$3/$S14=27,AZ$3/$S14=28,AZ$3/$S14=29,AZ$3/$S14=30,AZ$3/$S14=31,AZ$3/$S14=32,AZ$3/$S14=33),"X","")</f>
        <v/>
      </c>
      <c r="BA14" s="68" t="str">
        <f t="shared" si="30"/>
        <v/>
      </c>
      <c r="CH14" s="60"/>
      <c r="CI14" s="60"/>
    </row>
    <row r="15" spans="1:87" s="46" customFormat="1" ht="21" customHeight="1">
      <c r="A15" s="83">
        <v>1</v>
      </c>
      <c r="B15" s="58">
        <v>5202067</v>
      </c>
      <c r="C15" s="27" t="s">
        <v>38</v>
      </c>
      <c r="D15" s="86" t="s">
        <v>49</v>
      </c>
      <c r="E15" s="64">
        <v>5</v>
      </c>
      <c r="F15" s="30">
        <f>VLOOKUP(B15,'Estampados por manguera'!A$2:B$500,2,FALSE)</f>
        <v>2</v>
      </c>
      <c r="G15" s="30">
        <f t="shared" si="0"/>
        <v>10</v>
      </c>
      <c r="H15" s="32">
        <v>6</v>
      </c>
      <c r="I15" s="30">
        <f t="shared" si="1"/>
        <v>60</v>
      </c>
      <c r="J15" s="32">
        <f t="shared" si="2"/>
        <v>180</v>
      </c>
      <c r="K15" s="30">
        <f t="shared" si="3"/>
        <v>240</v>
      </c>
      <c r="L15" s="32">
        <v>1200</v>
      </c>
      <c r="M15" s="30">
        <f>VLOOKUP(B15,'Mangueras por contenedor'!A$2:B$500,2,FALSE)</f>
        <v>62</v>
      </c>
      <c r="N15" s="45">
        <f t="shared" si="4"/>
        <v>8.0645161290322578E-2</v>
      </c>
      <c r="O15" s="11">
        <f t="shared" si="5"/>
        <v>10</v>
      </c>
      <c r="P15" s="32">
        <f t="shared" si="6"/>
        <v>744</v>
      </c>
      <c r="Q15" s="32">
        <f>IF(M15&gt;=100,1,IF((M15*2)&gt;=100,2,IF((M15*3)&gt;=100,3,IF((M15*4)&gt;=100,4,5))))</f>
        <v>2</v>
      </c>
      <c r="R15" s="32">
        <f t="shared" si="8"/>
        <v>1488</v>
      </c>
      <c r="S15" s="32">
        <f t="shared" si="9"/>
        <v>20</v>
      </c>
      <c r="T15" s="32">
        <f t="shared" si="10"/>
        <v>124</v>
      </c>
      <c r="U15" s="59" t="str">
        <f t="shared" si="28"/>
        <v/>
      </c>
      <c r="V15" s="59" t="str">
        <f t="shared" si="28"/>
        <v/>
      </c>
      <c r="W15" s="59" t="str">
        <f t="shared" si="28"/>
        <v/>
      </c>
      <c r="X15" s="59" t="str">
        <f t="shared" si="28"/>
        <v/>
      </c>
      <c r="Y15" s="59" t="str">
        <f t="shared" si="28"/>
        <v/>
      </c>
      <c r="Z15" s="59" t="str">
        <f t="shared" si="28"/>
        <v/>
      </c>
      <c r="AA15" s="59" t="str">
        <f t="shared" si="28"/>
        <v/>
      </c>
      <c r="AB15" s="59" t="str">
        <f t="shared" si="28"/>
        <v/>
      </c>
      <c r="AC15" s="59" t="str">
        <f t="shared" si="28"/>
        <v/>
      </c>
      <c r="AD15" s="59" t="str">
        <f t="shared" si="28"/>
        <v/>
      </c>
      <c r="AE15" s="59" t="str">
        <f t="shared" si="19"/>
        <v/>
      </c>
      <c r="AF15" s="59" t="str">
        <f t="shared" si="19"/>
        <v/>
      </c>
      <c r="AG15" s="59" t="str">
        <f t="shared" si="19"/>
        <v/>
      </c>
      <c r="AH15" s="67" t="str">
        <f t="shared" si="19"/>
        <v/>
      </c>
      <c r="AI15" s="67" t="str">
        <f t="shared" si="24"/>
        <v/>
      </c>
      <c r="AJ15" s="67" t="str">
        <f t="shared" si="27"/>
        <v/>
      </c>
      <c r="AK15" s="67" t="str">
        <f t="shared" si="29"/>
        <v/>
      </c>
      <c r="AL15" s="67" t="str">
        <f t="shared" si="25"/>
        <v/>
      </c>
      <c r="AM15" s="67" t="s">
        <v>202</v>
      </c>
      <c r="AN15" s="67"/>
      <c r="AO15" s="67" t="s">
        <v>202</v>
      </c>
      <c r="AP15" s="67" t="str">
        <f t="shared" ref="AP15:AP30" si="31">IF(OR(AP$3/$S15=1,AP$3/$S15=2,AP$3/$S15=3,AP$3/$S15=4,AP$3/$S15=5,AP$3/$S15=6,AP$3/$S15=7,AP$3/$S15=8,AP$3/$S15=9,AP$3/$S15=10,AP$3/$S15=11,AP$3/$S15=12,AP$3/$S15=13,AP$3/$S15=14,AP$3/$S15=15,AP$3/$S15=16,AP$3/$S15=17,AP$3/$S15=18,AP$3/$S15=19,AP$3/$S15=20,AP$3/$S15=21,AP$3/$S15=22,AP$3/$S15=23,AP$3/$S15=24,AP$3/$S15=25,AP$3/$S15=26,AP$3/$S15=27,AP$3/$S15=28,AP$3/$S15=29,AP$3/$S15=30,AP$3/$S15=31,AP$3/$S15=32,AP$3/$S15=33),"X","")</f>
        <v/>
      </c>
      <c r="AQ15" s="67" t="str">
        <f t="shared" si="21"/>
        <v/>
      </c>
      <c r="AR15" s="67" t="str">
        <f t="shared" si="23"/>
        <v/>
      </c>
      <c r="AS15" s="67" t="str">
        <f t="shared" si="23"/>
        <v/>
      </c>
      <c r="AT15" s="67" t="str">
        <f t="shared" si="23"/>
        <v/>
      </c>
      <c r="AU15" s="68" t="str">
        <f t="shared" si="23"/>
        <v/>
      </c>
      <c r="AV15" s="68" t="str">
        <f t="shared" si="23"/>
        <v/>
      </c>
      <c r="AW15" s="68" t="str">
        <f t="shared" si="26"/>
        <v/>
      </c>
      <c r="AX15" s="68" t="str">
        <f t="shared" si="26"/>
        <v/>
      </c>
      <c r="AY15" s="68" t="str">
        <f t="shared" ref="AY15:AY24" si="32">IF(OR(AY$3/$S15=1,AY$3/$S15=2,AY$3/$S15=3,AY$3/$S15=4,AY$3/$S15=5,AY$3/$S15=6,AY$3/$S15=7,AY$3/$S15=8,AY$3/$S15=9,AY$3/$S15=10,AY$3/$S15=11,AY$3/$S15=12,AY$3/$S15=13,AY$3/$S15=14,AY$3/$S15=15,AY$3/$S15=16,AY$3/$S15=17,AY$3/$S15=18,AY$3/$S15=19,AY$3/$S15=20,AY$3/$S15=21,AY$3/$S15=22,AY$3/$S15=23,AY$3/$S15=24,AY$3/$S15=25,AY$3/$S15=26,AY$3/$S15=27,AY$3/$S15=28,AY$3/$S15=29,AY$3/$S15=30,AY$3/$S15=31,AY$3/$S15=32,AY$3/$S15=33),"X","")</f>
        <v/>
      </c>
      <c r="AZ15" s="68" t="str">
        <f t="shared" si="30"/>
        <v/>
      </c>
      <c r="BA15" s="68" t="str">
        <f t="shared" si="30"/>
        <v/>
      </c>
      <c r="CH15" s="60"/>
      <c r="CI15" s="60"/>
    </row>
    <row r="16" spans="1:87" s="46" customFormat="1" ht="21" customHeight="1">
      <c r="A16" s="83">
        <v>1</v>
      </c>
      <c r="B16" s="58">
        <v>5302431</v>
      </c>
      <c r="C16" s="27" t="s">
        <v>185</v>
      </c>
      <c r="D16" s="78" t="s">
        <v>49</v>
      </c>
      <c r="E16" s="64">
        <v>1</v>
      </c>
      <c r="F16" s="30">
        <f>VLOOKUP(B16,'Estampados por manguera'!A$2:B$500,2,FALSE)</f>
        <v>1</v>
      </c>
      <c r="G16" s="30">
        <f t="shared" si="0"/>
        <v>1</v>
      </c>
      <c r="H16" s="32">
        <v>6</v>
      </c>
      <c r="I16" s="30">
        <f t="shared" si="1"/>
        <v>6</v>
      </c>
      <c r="J16" s="32">
        <f t="shared" si="2"/>
        <v>180</v>
      </c>
      <c r="K16" s="30">
        <f t="shared" si="3"/>
        <v>186</v>
      </c>
      <c r="L16" s="32">
        <v>1221</v>
      </c>
      <c r="M16" s="30">
        <f>VLOOKUP(B16,'Mangueras por contenedor'!A$2:B$500,2,FALSE)</f>
        <v>25</v>
      </c>
      <c r="N16" s="45">
        <f t="shared" si="4"/>
        <v>0.04</v>
      </c>
      <c r="O16" s="11">
        <f t="shared" si="5"/>
        <v>20</v>
      </c>
      <c r="P16" s="32">
        <f t="shared" si="6"/>
        <v>150</v>
      </c>
      <c r="Q16" s="32">
        <v>1</v>
      </c>
      <c r="R16" s="32">
        <f t="shared" si="8"/>
        <v>150</v>
      </c>
      <c r="S16" s="32">
        <f t="shared" si="9"/>
        <v>20</v>
      </c>
      <c r="T16" s="32">
        <f t="shared" si="10"/>
        <v>25</v>
      </c>
      <c r="U16" s="59" t="str">
        <f t="shared" si="28"/>
        <v/>
      </c>
      <c r="V16" s="59" t="str">
        <f t="shared" si="28"/>
        <v/>
      </c>
      <c r="W16" s="59" t="str">
        <f t="shared" si="28"/>
        <v/>
      </c>
      <c r="X16" s="59" t="str">
        <f t="shared" si="28"/>
        <v/>
      </c>
      <c r="Y16" s="59" t="str">
        <f t="shared" si="28"/>
        <v/>
      </c>
      <c r="Z16" s="59" t="str">
        <f t="shared" si="28"/>
        <v/>
      </c>
      <c r="AA16" s="59" t="str">
        <f t="shared" si="28"/>
        <v/>
      </c>
      <c r="AB16" s="59" t="str">
        <f t="shared" si="28"/>
        <v/>
      </c>
      <c r="AC16" s="59" t="str">
        <f t="shared" si="28"/>
        <v/>
      </c>
      <c r="AD16" s="59" t="str">
        <f t="shared" si="28"/>
        <v/>
      </c>
      <c r="AE16" s="59" t="str">
        <f t="shared" si="19"/>
        <v/>
      </c>
      <c r="AF16" s="59" t="str">
        <f t="shared" si="19"/>
        <v/>
      </c>
      <c r="AG16" s="59" t="str">
        <f t="shared" si="19"/>
        <v/>
      </c>
      <c r="AH16" s="67" t="str">
        <f t="shared" si="19"/>
        <v/>
      </c>
      <c r="AI16" s="67" t="str">
        <f t="shared" si="24"/>
        <v/>
      </c>
      <c r="AJ16" s="67" t="str">
        <f t="shared" si="27"/>
        <v/>
      </c>
      <c r="AK16" s="67" t="str">
        <f t="shared" si="29"/>
        <v/>
      </c>
      <c r="AL16" s="67" t="str">
        <f t="shared" si="25"/>
        <v/>
      </c>
      <c r="AM16" s="67" t="str">
        <f t="shared" ref="AM16:AO30" si="33">IF(OR(AM$3/$S16=1,AM$3/$S16=2,AM$3/$S16=3,AM$3/$S16=4,AM$3/$S16=5,AM$3/$S16=6,AM$3/$S16=7,AM$3/$S16=8,AM$3/$S16=9,AM$3/$S16=10,AM$3/$S16=11,AM$3/$S16=12,AM$3/$S16=13,AM$3/$S16=14,AM$3/$S16=15,AM$3/$S16=16,AM$3/$S16=17,AM$3/$S16=18,AM$3/$S16=19,AM$3/$S16=20,AM$3/$S16=21,AM$3/$S16=22,AM$3/$S16=23,AM$3/$S16=24,AM$3/$S16=25,AM$3/$S16=26,AM$3/$S16=27,AM$3/$S16=28,AM$3/$S16=29,AM$3/$S16=30,AM$3/$S16=31,AM$3/$S16=32,AM$3/$S16=33),"X","")</f>
        <v/>
      </c>
      <c r="AN16" s="67" t="str">
        <f t="shared" si="33"/>
        <v>X</v>
      </c>
      <c r="AO16" s="67" t="str">
        <f t="shared" si="33"/>
        <v/>
      </c>
      <c r="AP16" s="67" t="str">
        <f t="shared" si="31"/>
        <v/>
      </c>
      <c r="AQ16" s="67" t="str">
        <f t="shared" si="21"/>
        <v/>
      </c>
      <c r="AR16" s="67" t="str">
        <f t="shared" si="23"/>
        <v/>
      </c>
      <c r="AS16" s="67" t="str">
        <f t="shared" si="23"/>
        <v/>
      </c>
      <c r="AT16" s="67" t="str">
        <f t="shared" si="23"/>
        <v/>
      </c>
      <c r="AU16" s="68" t="str">
        <f t="shared" si="23"/>
        <v/>
      </c>
      <c r="AV16" s="68" t="str">
        <f t="shared" si="23"/>
        <v/>
      </c>
      <c r="AW16" s="68" t="str">
        <f t="shared" si="26"/>
        <v/>
      </c>
      <c r="AX16" s="68" t="str">
        <f t="shared" si="26"/>
        <v/>
      </c>
      <c r="AY16" s="68" t="str">
        <f t="shared" si="32"/>
        <v/>
      </c>
      <c r="AZ16" s="68" t="str">
        <f t="shared" si="30"/>
        <v/>
      </c>
      <c r="BA16" s="68" t="str">
        <f t="shared" si="30"/>
        <v/>
      </c>
      <c r="CH16" s="60"/>
      <c r="CI16" s="60"/>
    </row>
    <row r="17" spans="1:724" s="46" customFormat="1" ht="21" customHeight="1">
      <c r="A17" s="83">
        <v>1</v>
      </c>
      <c r="B17" s="58">
        <v>5305218</v>
      </c>
      <c r="C17" s="27" t="s">
        <v>21</v>
      </c>
      <c r="D17" s="78" t="s">
        <v>50</v>
      </c>
      <c r="E17" s="64">
        <v>6</v>
      </c>
      <c r="F17" s="30">
        <f>VLOOKUP(B17,'Estampados por manguera'!A$2:B$500,2,FALSE)</f>
        <v>1</v>
      </c>
      <c r="G17" s="30">
        <f t="shared" si="0"/>
        <v>6</v>
      </c>
      <c r="H17" s="32">
        <v>6</v>
      </c>
      <c r="I17" s="30">
        <f t="shared" si="1"/>
        <v>36</v>
      </c>
      <c r="J17" s="32">
        <f t="shared" si="2"/>
        <v>180</v>
      </c>
      <c r="K17" s="30">
        <f t="shared" si="3"/>
        <v>216</v>
      </c>
      <c r="L17" s="32">
        <v>1200</v>
      </c>
      <c r="M17" s="30">
        <f>VLOOKUP(B17,'Mangueras por contenedor'!A$2:B$500,2,FALSE)</f>
        <v>80</v>
      </c>
      <c r="N17" s="45">
        <f t="shared" si="4"/>
        <v>7.4999999999999997E-2</v>
      </c>
      <c r="O17" s="11">
        <f t="shared" si="5"/>
        <v>11</v>
      </c>
      <c r="P17" s="32">
        <f t="shared" si="6"/>
        <v>480</v>
      </c>
      <c r="Q17" s="32">
        <f>IF(M17&gt;=100,1,IF((M17*2)&gt;=100,2,IF((M17*3)&gt;=100,3,IF((M17*4)&gt;=100,4,5))))</f>
        <v>2</v>
      </c>
      <c r="R17" s="32">
        <f t="shared" si="8"/>
        <v>960</v>
      </c>
      <c r="S17" s="32">
        <f t="shared" si="9"/>
        <v>22</v>
      </c>
      <c r="T17" s="32">
        <f t="shared" si="10"/>
        <v>160</v>
      </c>
      <c r="U17" s="59" t="str">
        <f t="shared" si="28"/>
        <v/>
      </c>
      <c r="V17" s="59" t="str">
        <f t="shared" si="28"/>
        <v/>
      </c>
      <c r="W17" s="59" t="str">
        <f t="shared" si="28"/>
        <v/>
      </c>
      <c r="X17" s="59" t="str">
        <f t="shared" si="28"/>
        <v/>
      </c>
      <c r="Y17" s="59" t="str">
        <f t="shared" si="28"/>
        <v/>
      </c>
      <c r="Z17" s="59" t="str">
        <f t="shared" si="28"/>
        <v/>
      </c>
      <c r="AA17" s="59" t="str">
        <f t="shared" si="28"/>
        <v/>
      </c>
      <c r="AB17" s="59" t="str">
        <f t="shared" si="28"/>
        <v/>
      </c>
      <c r="AC17" s="59" t="str">
        <f t="shared" si="28"/>
        <v/>
      </c>
      <c r="AD17" s="59" t="str">
        <f t="shared" si="28"/>
        <v/>
      </c>
      <c r="AE17" s="59" t="str">
        <f t="shared" si="19"/>
        <v/>
      </c>
      <c r="AF17" s="59" t="str">
        <f t="shared" si="19"/>
        <v/>
      </c>
      <c r="AG17" s="59" t="str">
        <f t="shared" si="19"/>
        <v/>
      </c>
      <c r="AH17" s="67" t="str">
        <f t="shared" si="19"/>
        <v/>
      </c>
      <c r="AI17" s="67" t="str">
        <f t="shared" si="24"/>
        <v/>
      </c>
      <c r="AJ17" s="67" t="str">
        <f t="shared" si="27"/>
        <v/>
      </c>
      <c r="AK17" s="67" t="str">
        <f t="shared" si="29"/>
        <v/>
      </c>
      <c r="AL17" s="67" t="str">
        <f t="shared" si="25"/>
        <v/>
      </c>
      <c r="AM17" s="67" t="str">
        <f t="shared" si="33"/>
        <v/>
      </c>
      <c r="AN17" s="67" t="str">
        <f t="shared" si="33"/>
        <v/>
      </c>
      <c r="AO17" s="67" t="str">
        <f t="shared" si="33"/>
        <v/>
      </c>
      <c r="AP17" s="67" t="str">
        <f t="shared" si="31"/>
        <v>X</v>
      </c>
      <c r="AQ17" s="67" t="str">
        <f t="shared" si="21"/>
        <v/>
      </c>
      <c r="AR17" s="67" t="str">
        <f t="shared" si="23"/>
        <v/>
      </c>
      <c r="AS17" s="67" t="str">
        <f t="shared" si="23"/>
        <v/>
      </c>
      <c r="AT17" s="67" t="str">
        <f t="shared" si="23"/>
        <v/>
      </c>
      <c r="AU17" s="68" t="str">
        <f t="shared" si="23"/>
        <v/>
      </c>
      <c r="AV17" s="68" t="str">
        <f t="shared" si="23"/>
        <v/>
      </c>
      <c r="AW17" s="68" t="str">
        <f t="shared" si="26"/>
        <v/>
      </c>
      <c r="AX17" s="68" t="str">
        <f t="shared" si="26"/>
        <v/>
      </c>
      <c r="AY17" s="68" t="str">
        <f t="shared" si="32"/>
        <v/>
      </c>
      <c r="AZ17" s="68" t="str">
        <f t="shared" si="30"/>
        <v/>
      </c>
      <c r="BA17" s="68" t="str">
        <f t="shared" si="30"/>
        <v/>
      </c>
      <c r="CH17" s="60"/>
      <c r="CI17" s="60"/>
      <c r="AAU17" s="48"/>
      <c r="AAV17" s="48"/>
    </row>
    <row r="18" spans="1:724" s="46" customFormat="1" ht="21" customHeight="1">
      <c r="A18" s="83">
        <v>1</v>
      </c>
      <c r="B18" s="58">
        <v>5202137</v>
      </c>
      <c r="C18" s="27" t="s">
        <v>40</v>
      </c>
      <c r="D18" s="86" t="s">
        <v>49</v>
      </c>
      <c r="E18" s="64">
        <v>4</v>
      </c>
      <c r="F18" s="30">
        <f>VLOOKUP(B18,'Estampados por manguera'!A$2:B$500,2,FALSE)</f>
        <v>2</v>
      </c>
      <c r="G18" s="30">
        <f t="shared" si="0"/>
        <v>8</v>
      </c>
      <c r="H18" s="32">
        <v>6</v>
      </c>
      <c r="I18" s="30">
        <f t="shared" si="1"/>
        <v>48</v>
      </c>
      <c r="J18" s="32">
        <f t="shared" si="2"/>
        <v>180</v>
      </c>
      <c r="K18" s="30">
        <f t="shared" si="3"/>
        <v>228</v>
      </c>
      <c r="L18" s="32">
        <v>1200</v>
      </c>
      <c r="M18" s="30">
        <f>VLOOKUP(B18,'Mangueras por contenedor'!A$2:B$500,2,FALSE)</f>
        <v>26</v>
      </c>
      <c r="N18" s="45">
        <f t="shared" si="4"/>
        <v>0.15384615384615385</v>
      </c>
      <c r="O18" s="11">
        <f t="shared" si="5"/>
        <v>6</v>
      </c>
      <c r="P18" s="32">
        <f t="shared" si="6"/>
        <v>312</v>
      </c>
      <c r="Q18" s="32">
        <f>IF(M18&gt;=100,1,IF((M18*2)&gt;=100,2,IF((M18*3)&gt;=100,3,IF((M18*4)&gt;=100,4,5))))</f>
        <v>4</v>
      </c>
      <c r="R18" s="32">
        <f t="shared" si="8"/>
        <v>1248</v>
      </c>
      <c r="S18" s="32">
        <f t="shared" si="9"/>
        <v>24</v>
      </c>
      <c r="T18" s="32">
        <f t="shared" si="10"/>
        <v>104</v>
      </c>
      <c r="U18" s="59" t="str">
        <f t="shared" si="28"/>
        <v/>
      </c>
      <c r="V18" s="59" t="str">
        <f t="shared" si="28"/>
        <v/>
      </c>
      <c r="W18" s="59" t="str">
        <f t="shared" si="28"/>
        <v/>
      </c>
      <c r="X18" s="59" t="str">
        <f t="shared" si="28"/>
        <v/>
      </c>
      <c r="Y18" s="59" t="str">
        <f t="shared" si="28"/>
        <v/>
      </c>
      <c r="Z18" s="59" t="str">
        <f t="shared" si="28"/>
        <v/>
      </c>
      <c r="AA18" s="59" t="str">
        <f t="shared" si="28"/>
        <v/>
      </c>
      <c r="AB18" s="59" t="str">
        <f t="shared" si="28"/>
        <v/>
      </c>
      <c r="AC18" s="59" t="str">
        <f t="shared" si="28"/>
        <v/>
      </c>
      <c r="AD18" s="59" t="str">
        <f t="shared" si="28"/>
        <v/>
      </c>
      <c r="AE18" s="59" t="str">
        <f t="shared" si="19"/>
        <v/>
      </c>
      <c r="AF18" s="59" t="str">
        <f t="shared" si="19"/>
        <v/>
      </c>
      <c r="AG18" s="59" t="str">
        <f t="shared" si="19"/>
        <v/>
      </c>
      <c r="AH18" s="67" t="str">
        <f t="shared" si="19"/>
        <v/>
      </c>
      <c r="AI18" s="67" t="str">
        <f t="shared" si="24"/>
        <v/>
      </c>
      <c r="AJ18" s="67" t="str">
        <f t="shared" si="27"/>
        <v/>
      </c>
      <c r="AK18" s="67" t="str">
        <f t="shared" si="29"/>
        <v/>
      </c>
      <c r="AL18" s="67" t="str">
        <f t="shared" si="25"/>
        <v/>
      </c>
      <c r="AM18" s="67" t="str">
        <f t="shared" si="33"/>
        <v/>
      </c>
      <c r="AN18" s="67" t="str">
        <f t="shared" si="33"/>
        <v/>
      </c>
      <c r="AO18" s="67" t="str">
        <f t="shared" si="33"/>
        <v/>
      </c>
      <c r="AP18" s="67" t="str">
        <f t="shared" si="31"/>
        <v/>
      </c>
      <c r="AQ18" s="67" t="str">
        <f t="shared" si="21"/>
        <v/>
      </c>
      <c r="AR18" s="67" t="str">
        <f t="shared" si="23"/>
        <v>X</v>
      </c>
      <c r="AS18" s="67" t="str">
        <f t="shared" si="23"/>
        <v/>
      </c>
      <c r="AT18" s="67" t="str">
        <f t="shared" si="23"/>
        <v/>
      </c>
      <c r="AU18" s="68" t="str">
        <f t="shared" si="23"/>
        <v/>
      </c>
      <c r="AV18" s="68" t="str">
        <f t="shared" si="23"/>
        <v/>
      </c>
      <c r="AW18" s="68" t="str">
        <f t="shared" si="26"/>
        <v/>
      </c>
      <c r="AX18" s="68" t="str">
        <f t="shared" si="26"/>
        <v/>
      </c>
      <c r="AY18" s="68" t="str">
        <f t="shared" si="32"/>
        <v/>
      </c>
      <c r="AZ18" s="68" t="str">
        <f t="shared" si="30"/>
        <v/>
      </c>
      <c r="BA18" s="68" t="str">
        <f t="shared" si="30"/>
        <v/>
      </c>
      <c r="CH18" s="60"/>
      <c r="CI18" s="60"/>
    </row>
    <row r="19" spans="1:724" s="46" customFormat="1" ht="21" customHeight="1">
      <c r="A19" s="83">
        <v>1</v>
      </c>
      <c r="B19" s="58">
        <v>5202139</v>
      </c>
      <c r="C19" s="27" t="s">
        <v>41</v>
      </c>
      <c r="D19" s="86" t="s">
        <v>49</v>
      </c>
      <c r="E19" s="64">
        <v>4</v>
      </c>
      <c r="F19" s="30">
        <f>VLOOKUP(B19,'Estampados por manguera'!A$2:B$500,2,FALSE)</f>
        <v>2</v>
      </c>
      <c r="G19" s="30">
        <f t="shared" si="0"/>
        <v>8</v>
      </c>
      <c r="H19" s="32">
        <v>6</v>
      </c>
      <c r="I19" s="30">
        <f t="shared" si="1"/>
        <v>48</v>
      </c>
      <c r="J19" s="32">
        <f t="shared" si="2"/>
        <v>180</v>
      </c>
      <c r="K19" s="30">
        <f t="shared" si="3"/>
        <v>228</v>
      </c>
      <c r="L19" s="32">
        <v>1200</v>
      </c>
      <c r="M19" s="30">
        <f>VLOOKUP(B19,'Mangueras por contenedor'!A$2:B$500,2,FALSE)</f>
        <v>28</v>
      </c>
      <c r="N19" s="45">
        <f t="shared" si="4"/>
        <v>0.14285714285714285</v>
      </c>
      <c r="O19" s="11">
        <f t="shared" si="5"/>
        <v>6</v>
      </c>
      <c r="P19" s="32">
        <f t="shared" si="6"/>
        <v>336</v>
      </c>
      <c r="Q19" s="32">
        <f>IF(M19&gt;=100,1,IF((M19*2)&gt;=100,2,IF((M19*3)&gt;=100,3,IF((M19*4)&gt;=100,4,5))))</f>
        <v>4</v>
      </c>
      <c r="R19" s="32">
        <f t="shared" si="8"/>
        <v>1344</v>
      </c>
      <c r="S19" s="32">
        <f t="shared" si="9"/>
        <v>24</v>
      </c>
      <c r="T19" s="32">
        <f t="shared" si="10"/>
        <v>112</v>
      </c>
      <c r="U19" s="59" t="str">
        <f t="shared" si="28"/>
        <v/>
      </c>
      <c r="V19" s="59" t="str">
        <f t="shared" si="28"/>
        <v/>
      </c>
      <c r="W19" s="59" t="str">
        <f t="shared" si="28"/>
        <v/>
      </c>
      <c r="X19" s="59" t="str">
        <f t="shared" si="28"/>
        <v/>
      </c>
      <c r="Y19" s="59" t="str">
        <f t="shared" si="28"/>
        <v/>
      </c>
      <c r="Z19" s="59" t="str">
        <f t="shared" si="28"/>
        <v/>
      </c>
      <c r="AA19" s="59" t="str">
        <f t="shared" si="28"/>
        <v/>
      </c>
      <c r="AB19" s="59" t="str">
        <f t="shared" si="28"/>
        <v/>
      </c>
      <c r="AC19" s="59" t="str">
        <f t="shared" si="28"/>
        <v/>
      </c>
      <c r="AD19" s="59" t="str">
        <f t="shared" si="28"/>
        <v/>
      </c>
      <c r="AE19" s="59" t="str">
        <f t="shared" si="19"/>
        <v/>
      </c>
      <c r="AF19" s="59" t="str">
        <f t="shared" si="19"/>
        <v/>
      </c>
      <c r="AG19" s="59" t="str">
        <f t="shared" si="19"/>
        <v/>
      </c>
      <c r="AH19" s="67" t="str">
        <f t="shared" si="19"/>
        <v/>
      </c>
      <c r="AI19" s="67" t="str">
        <f t="shared" si="24"/>
        <v/>
      </c>
      <c r="AJ19" s="67" t="str">
        <f t="shared" si="27"/>
        <v/>
      </c>
      <c r="AK19" s="67" t="str">
        <f t="shared" si="29"/>
        <v/>
      </c>
      <c r="AL19" s="67" t="str">
        <f t="shared" si="25"/>
        <v/>
      </c>
      <c r="AM19" s="67" t="str">
        <f t="shared" si="33"/>
        <v/>
      </c>
      <c r="AN19" s="67" t="str">
        <f t="shared" si="33"/>
        <v/>
      </c>
      <c r="AO19" s="67" t="str">
        <f t="shared" si="33"/>
        <v/>
      </c>
      <c r="AP19" s="67" t="str">
        <f t="shared" si="31"/>
        <v/>
      </c>
      <c r="AQ19" s="67" t="str">
        <f t="shared" si="21"/>
        <v/>
      </c>
      <c r="AR19" s="67"/>
      <c r="AS19" s="67" t="s">
        <v>202</v>
      </c>
      <c r="AT19" s="67" t="str">
        <f t="shared" ref="AT19:AV30" si="34">IF(OR(AT$3/$S19=1,AT$3/$S19=2,AT$3/$S19=3,AT$3/$S19=4,AT$3/$S19=5,AT$3/$S19=6,AT$3/$S19=7,AT$3/$S19=8,AT$3/$S19=9,AT$3/$S19=10,AT$3/$S19=11,AT$3/$S19=12,AT$3/$S19=13,AT$3/$S19=14,AT$3/$S19=15,AT$3/$S19=16,AT$3/$S19=17,AT$3/$S19=18,AT$3/$S19=19,AT$3/$S19=20,AT$3/$S19=21,AT$3/$S19=22,AT$3/$S19=23,AT$3/$S19=24,AT$3/$S19=25,AT$3/$S19=26,AT$3/$S19=27,AT$3/$S19=28,AT$3/$S19=29,AT$3/$S19=30,AT$3/$S19=31,AT$3/$S19=32,AT$3/$S19=33),"X","")</f>
        <v/>
      </c>
      <c r="AU19" s="68" t="str">
        <f t="shared" si="34"/>
        <v/>
      </c>
      <c r="AV19" s="68" t="str">
        <f t="shared" si="34"/>
        <v/>
      </c>
      <c r="AW19" s="68" t="str">
        <f t="shared" si="26"/>
        <v/>
      </c>
      <c r="AX19" s="68" t="str">
        <f t="shared" si="26"/>
        <v/>
      </c>
      <c r="AY19" s="68" t="str">
        <f t="shared" si="32"/>
        <v/>
      </c>
      <c r="AZ19" s="68" t="str">
        <f t="shared" si="30"/>
        <v/>
      </c>
      <c r="BA19" s="68" t="str">
        <f t="shared" si="30"/>
        <v/>
      </c>
      <c r="CH19" s="60"/>
      <c r="CI19" s="60"/>
    </row>
    <row r="20" spans="1:724" s="46" customFormat="1" ht="21" customHeight="1">
      <c r="A20" s="83">
        <v>1</v>
      </c>
      <c r="B20" s="58">
        <v>5202135</v>
      </c>
      <c r="C20" s="27" t="s">
        <v>39</v>
      </c>
      <c r="D20" s="86" t="s">
        <v>49</v>
      </c>
      <c r="E20" s="64">
        <v>4</v>
      </c>
      <c r="F20" s="30">
        <f>VLOOKUP(B20,'Estampados por manguera'!A$2:B$500,2,FALSE)</f>
        <v>2</v>
      </c>
      <c r="G20" s="30">
        <f t="shared" si="0"/>
        <v>8</v>
      </c>
      <c r="H20" s="32">
        <v>6</v>
      </c>
      <c r="I20" s="30">
        <f t="shared" si="1"/>
        <v>48</v>
      </c>
      <c r="J20" s="32">
        <f t="shared" si="2"/>
        <v>180</v>
      </c>
      <c r="K20" s="30">
        <f t="shared" si="3"/>
        <v>228</v>
      </c>
      <c r="L20" s="32">
        <v>1200</v>
      </c>
      <c r="M20" s="30">
        <f>VLOOKUP(B20,'Mangueras por contenedor'!A$2:B$500,2,FALSE)</f>
        <v>62</v>
      </c>
      <c r="N20" s="45">
        <f t="shared" si="4"/>
        <v>6.4516129032258063E-2</v>
      </c>
      <c r="O20" s="11">
        <f t="shared" si="5"/>
        <v>13</v>
      </c>
      <c r="P20" s="32">
        <f t="shared" si="6"/>
        <v>744</v>
      </c>
      <c r="Q20" s="32">
        <f>IF(M20&gt;=100,1,IF((M20*2)&gt;=100,2,IF((M20*3)&gt;=100,3,IF((M20*4)&gt;=100,4,5))))</f>
        <v>2</v>
      </c>
      <c r="R20" s="32">
        <f t="shared" si="8"/>
        <v>1488</v>
      </c>
      <c r="S20" s="32">
        <f t="shared" si="9"/>
        <v>26</v>
      </c>
      <c r="T20" s="32">
        <f t="shared" si="10"/>
        <v>124</v>
      </c>
      <c r="U20" s="59" t="str">
        <f t="shared" si="28"/>
        <v/>
      </c>
      <c r="V20" s="59" t="str">
        <f t="shared" si="28"/>
        <v/>
      </c>
      <c r="W20" s="59" t="str">
        <f t="shared" si="28"/>
        <v/>
      </c>
      <c r="X20" s="59" t="str">
        <f t="shared" si="28"/>
        <v/>
      </c>
      <c r="Y20" s="59" t="str">
        <f t="shared" si="28"/>
        <v/>
      </c>
      <c r="Z20" s="59" t="str">
        <f t="shared" si="28"/>
        <v/>
      </c>
      <c r="AA20" s="59" t="str">
        <f t="shared" si="28"/>
        <v/>
      </c>
      <c r="AB20" s="59" t="str">
        <f t="shared" si="28"/>
        <v/>
      </c>
      <c r="AC20" s="59" t="str">
        <f t="shared" si="28"/>
        <v/>
      </c>
      <c r="AD20" s="59" t="str">
        <f t="shared" si="28"/>
        <v/>
      </c>
      <c r="AE20" s="59" t="str">
        <f t="shared" si="19"/>
        <v/>
      </c>
      <c r="AF20" s="59" t="str">
        <f t="shared" si="19"/>
        <v/>
      </c>
      <c r="AG20" s="59" t="str">
        <f t="shared" si="19"/>
        <v/>
      </c>
      <c r="AH20" s="67" t="str">
        <f t="shared" si="19"/>
        <v/>
      </c>
      <c r="AI20" s="67" t="str">
        <f t="shared" si="24"/>
        <v/>
      </c>
      <c r="AJ20" s="67" t="str">
        <f t="shared" si="27"/>
        <v/>
      </c>
      <c r="AK20" s="67" t="str">
        <f t="shared" si="29"/>
        <v/>
      </c>
      <c r="AL20" s="67" t="str">
        <f t="shared" si="25"/>
        <v/>
      </c>
      <c r="AM20" s="67" t="str">
        <f t="shared" si="33"/>
        <v/>
      </c>
      <c r="AN20" s="67" t="str">
        <f t="shared" si="33"/>
        <v/>
      </c>
      <c r="AO20" s="67" t="str">
        <f t="shared" si="33"/>
        <v/>
      </c>
      <c r="AP20" s="67" t="str">
        <f t="shared" si="31"/>
        <v/>
      </c>
      <c r="AQ20" s="67" t="str">
        <f t="shared" si="21"/>
        <v/>
      </c>
      <c r="AR20" s="67" t="str">
        <f t="shared" ref="AR20:AS30" si="35">IF(OR(AR$3/$S20=1,AR$3/$S20=2,AR$3/$S20=3,AR$3/$S20=4,AR$3/$S20=5,AR$3/$S20=6,AR$3/$S20=7,AR$3/$S20=8,AR$3/$S20=9,AR$3/$S20=10,AR$3/$S20=11,AR$3/$S20=12,AR$3/$S20=13,AR$3/$S20=14,AR$3/$S20=15,AR$3/$S20=16,AR$3/$S20=17,AR$3/$S20=18,AR$3/$S20=19,AR$3/$S20=20,AR$3/$S20=21,AR$3/$S20=22,AR$3/$S20=23,AR$3/$S20=24,AR$3/$S20=25,AR$3/$S20=26,AR$3/$S20=27,AR$3/$S20=28,AR$3/$S20=29,AR$3/$S20=30,AR$3/$S20=31,AR$3/$S20=32,AR$3/$S20=33),"X","")</f>
        <v/>
      </c>
      <c r="AS20" s="67" t="str">
        <f t="shared" si="35"/>
        <v/>
      </c>
      <c r="AT20" s="67" t="str">
        <f t="shared" si="34"/>
        <v>X</v>
      </c>
      <c r="AU20" s="68" t="str">
        <f t="shared" si="34"/>
        <v/>
      </c>
      <c r="AV20" s="68" t="str">
        <f t="shared" si="34"/>
        <v/>
      </c>
      <c r="AW20" s="68" t="str">
        <f t="shared" si="26"/>
        <v/>
      </c>
      <c r="AX20" s="68" t="str">
        <f t="shared" si="26"/>
        <v/>
      </c>
      <c r="AY20" s="68" t="str">
        <f t="shared" si="32"/>
        <v/>
      </c>
      <c r="AZ20" s="68" t="str">
        <f t="shared" si="30"/>
        <v/>
      </c>
      <c r="BA20" s="68" t="str">
        <f t="shared" si="30"/>
        <v/>
      </c>
      <c r="CH20" s="60"/>
      <c r="CI20" s="60"/>
    </row>
    <row r="21" spans="1:724" s="46" customFormat="1" ht="21" customHeight="1">
      <c r="A21" s="83">
        <v>1</v>
      </c>
      <c r="B21" s="58">
        <v>5202141</v>
      </c>
      <c r="C21" s="27" t="s">
        <v>116</v>
      </c>
      <c r="D21" s="86" t="s">
        <v>49</v>
      </c>
      <c r="E21" s="64">
        <v>1</v>
      </c>
      <c r="F21" s="30">
        <f>VLOOKUP(B21,'Estampados por manguera'!A$2:B$500,2,FALSE)</f>
        <v>2</v>
      </c>
      <c r="G21" s="30">
        <f t="shared" si="0"/>
        <v>2</v>
      </c>
      <c r="H21" s="32">
        <v>6</v>
      </c>
      <c r="I21" s="30">
        <f t="shared" si="1"/>
        <v>12</v>
      </c>
      <c r="J21" s="32">
        <f t="shared" si="2"/>
        <v>180</v>
      </c>
      <c r="K21" s="30">
        <f t="shared" si="3"/>
        <v>192</v>
      </c>
      <c r="L21" s="32">
        <v>1200</v>
      </c>
      <c r="M21" s="30">
        <f>VLOOKUP(B21,'Mangueras por contenedor'!A$2:B$500,2,FALSE)</f>
        <v>32</v>
      </c>
      <c r="N21" s="45">
        <f t="shared" si="4"/>
        <v>3.125E-2</v>
      </c>
      <c r="O21" s="11">
        <f t="shared" si="5"/>
        <v>26</v>
      </c>
      <c r="P21" s="32">
        <f t="shared" si="6"/>
        <v>384</v>
      </c>
      <c r="Q21" s="32">
        <v>1</v>
      </c>
      <c r="R21" s="32">
        <f t="shared" si="8"/>
        <v>384</v>
      </c>
      <c r="S21" s="32">
        <f t="shared" si="9"/>
        <v>26</v>
      </c>
      <c r="T21" s="32">
        <f t="shared" si="10"/>
        <v>32</v>
      </c>
      <c r="U21" s="59" t="str">
        <f t="shared" si="28"/>
        <v/>
      </c>
      <c r="V21" s="59" t="str">
        <f t="shared" si="28"/>
        <v/>
      </c>
      <c r="W21" s="59" t="str">
        <f t="shared" si="28"/>
        <v/>
      </c>
      <c r="X21" s="59" t="str">
        <f t="shared" si="28"/>
        <v/>
      </c>
      <c r="Y21" s="59" t="str">
        <f t="shared" si="28"/>
        <v/>
      </c>
      <c r="Z21" s="59" t="str">
        <f t="shared" si="28"/>
        <v/>
      </c>
      <c r="AA21" s="59" t="str">
        <f t="shared" si="28"/>
        <v/>
      </c>
      <c r="AB21" s="59" t="str">
        <f t="shared" si="28"/>
        <v/>
      </c>
      <c r="AC21" s="59" t="str">
        <f t="shared" si="28"/>
        <v/>
      </c>
      <c r="AD21" s="59" t="str">
        <f t="shared" si="28"/>
        <v/>
      </c>
      <c r="AE21" s="59" t="str">
        <f t="shared" si="19"/>
        <v/>
      </c>
      <c r="AF21" s="59" t="str">
        <f t="shared" si="19"/>
        <v/>
      </c>
      <c r="AG21" s="59" t="str">
        <f t="shared" si="19"/>
        <v/>
      </c>
      <c r="AH21" s="67" t="str">
        <f t="shared" si="19"/>
        <v/>
      </c>
      <c r="AI21" s="67" t="str">
        <f t="shared" si="24"/>
        <v/>
      </c>
      <c r="AJ21" s="67" t="str">
        <f t="shared" si="27"/>
        <v/>
      </c>
      <c r="AK21" s="67" t="str">
        <f t="shared" si="29"/>
        <v/>
      </c>
      <c r="AL21" s="67" t="str">
        <f t="shared" si="25"/>
        <v/>
      </c>
      <c r="AM21" s="67" t="str">
        <f t="shared" si="33"/>
        <v/>
      </c>
      <c r="AN21" s="67" t="str">
        <f t="shared" si="33"/>
        <v/>
      </c>
      <c r="AO21" s="67" t="str">
        <f t="shared" si="33"/>
        <v/>
      </c>
      <c r="AP21" s="67" t="str">
        <f t="shared" si="31"/>
        <v/>
      </c>
      <c r="AQ21" s="67" t="str">
        <f t="shared" si="21"/>
        <v/>
      </c>
      <c r="AR21" s="67" t="str">
        <f t="shared" si="35"/>
        <v/>
      </c>
      <c r="AS21" s="67" t="str">
        <f t="shared" si="35"/>
        <v/>
      </c>
      <c r="AT21" s="67" t="str">
        <f t="shared" si="34"/>
        <v>X</v>
      </c>
      <c r="AU21" s="68" t="str">
        <f t="shared" si="34"/>
        <v/>
      </c>
      <c r="AV21" s="68" t="str">
        <f t="shared" si="34"/>
        <v/>
      </c>
      <c r="AW21" s="68" t="str">
        <f t="shared" si="26"/>
        <v/>
      </c>
      <c r="AX21" s="68" t="str">
        <f t="shared" si="26"/>
        <v/>
      </c>
      <c r="AY21" s="68" t="str">
        <f t="shared" si="32"/>
        <v/>
      </c>
      <c r="AZ21" s="68"/>
      <c r="BA21" s="68" t="str">
        <f t="shared" ref="BA21:BA30" si="36">IF(OR(BA$3/$S21=1,BA$3/$S21=2,BA$3/$S21=3,BA$3/$S21=4,BA$3/$S21=5,BA$3/$S21=6,BA$3/$S21=7,BA$3/$S21=8,BA$3/$S21=9,BA$3/$S21=10,BA$3/$S21=11,BA$3/$S21=12,BA$3/$S21=13,BA$3/$S21=14,BA$3/$S21=15,BA$3/$S21=16,BA$3/$S21=17,BA$3/$S21=18,BA$3/$S21=19,BA$3/$S21=20,BA$3/$S21=21,BA$3/$S21=22,BA$3/$S21=23,BA$3/$S21=24,BA$3/$S21=25,BA$3/$S21=26,BA$3/$S21=27,BA$3/$S21=28,BA$3/$S21=29,BA$3/$S21=30,BA$3/$S21=31,BA$3/$S21=32,BA$3/$S21=33),"X","")</f>
        <v/>
      </c>
      <c r="CH21" s="60"/>
      <c r="CI21" s="60"/>
    </row>
    <row r="22" spans="1:724" s="46" customFormat="1" ht="21" customHeight="1">
      <c r="A22" s="83">
        <v>1</v>
      </c>
      <c r="B22" s="58">
        <v>5202178</v>
      </c>
      <c r="C22" s="27" t="s">
        <v>183</v>
      </c>
      <c r="D22" s="86" t="s">
        <v>49</v>
      </c>
      <c r="E22" s="64">
        <v>1</v>
      </c>
      <c r="F22" s="31">
        <f>VLOOKUP(B22,'Estampados por manguera'!A$2:B$500,2,FALSE)</f>
        <v>4</v>
      </c>
      <c r="G22" s="31">
        <f t="shared" si="0"/>
        <v>4</v>
      </c>
      <c r="H22" s="32">
        <v>6</v>
      </c>
      <c r="I22" s="30">
        <f t="shared" si="1"/>
        <v>24</v>
      </c>
      <c r="J22" s="32">
        <f t="shared" si="2"/>
        <v>180</v>
      </c>
      <c r="K22" s="31">
        <f t="shared" si="3"/>
        <v>204</v>
      </c>
      <c r="L22" s="32">
        <v>1200</v>
      </c>
      <c r="M22" s="31">
        <f>VLOOKUP(B22,'Mangueras por contenedor'!A$2:B$500,2,FALSE)</f>
        <v>35</v>
      </c>
      <c r="N22" s="35">
        <f t="shared" si="4"/>
        <v>2.8571428571428571E-2</v>
      </c>
      <c r="O22" s="11">
        <f t="shared" si="5"/>
        <v>28</v>
      </c>
      <c r="P22" s="11">
        <f t="shared" si="6"/>
        <v>840</v>
      </c>
      <c r="Q22" s="32">
        <v>1</v>
      </c>
      <c r="R22" s="32">
        <f t="shared" si="8"/>
        <v>840</v>
      </c>
      <c r="S22" s="32">
        <f t="shared" si="9"/>
        <v>28</v>
      </c>
      <c r="T22" s="32">
        <f t="shared" si="10"/>
        <v>35</v>
      </c>
      <c r="U22" s="59" t="str">
        <f t="shared" si="28"/>
        <v/>
      </c>
      <c r="V22" s="59" t="str">
        <f t="shared" si="28"/>
        <v/>
      </c>
      <c r="W22" s="59" t="str">
        <f t="shared" si="28"/>
        <v/>
      </c>
      <c r="X22" s="59" t="str">
        <f t="shared" si="28"/>
        <v/>
      </c>
      <c r="Y22" s="59" t="str">
        <f t="shared" si="28"/>
        <v/>
      </c>
      <c r="Z22" s="59" t="str">
        <f t="shared" si="28"/>
        <v/>
      </c>
      <c r="AA22" s="59" t="str">
        <f t="shared" si="28"/>
        <v/>
      </c>
      <c r="AB22" s="59" t="str">
        <f t="shared" si="28"/>
        <v/>
      </c>
      <c r="AC22" s="59" t="str">
        <f t="shared" si="28"/>
        <v/>
      </c>
      <c r="AD22" s="59" t="str">
        <f t="shared" si="28"/>
        <v/>
      </c>
      <c r="AE22" s="59" t="str">
        <f t="shared" si="19"/>
        <v/>
      </c>
      <c r="AF22" s="59" t="str">
        <f t="shared" si="19"/>
        <v/>
      </c>
      <c r="AG22" s="59" t="str">
        <f t="shared" si="19"/>
        <v/>
      </c>
      <c r="AH22" s="67" t="str">
        <f t="shared" si="19"/>
        <v/>
      </c>
      <c r="AI22" s="67" t="str">
        <f t="shared" si="24"/>
        <v/>
      </c>
      <c r="AJ22" s="67" t="str">
        <f t="shared" si="27"/>
        <v/>
      </c>
      <c r="AK22" s="67" t="str">
        <f t="shared" si="29"/>
        <v/>
      </c>
      <c r="AL22" s="67" t="str">
        <f t="shared" si="25"/>
        <v/>
      </c>
      <c r="AM22" s="67" t="str">
        <f t="shared" si="33"/>
        <v/>
      </c>
      <c r="AN22" s="67" t="str">
        <f t="shared" si="33"/>
        <v/>
      </c>
      <c r="AO22" s="67" t="str">
        <f t="shared" si="33"/>
        <v/>
      </c>
      <c r="AP22" s="67" t="str">
        <f t="shared" si="31"/>
        <v/>
      </c>
      <c r="AQ22" s="67" t="str">
        <f t="shared" si="21"/>
        <v/>
      </c>
      <c r="AR22" s="67" t="str">
        <f t="shared" si="35"/>
        <v/>
      </c>
      <c r="AS22" s="67" t="str">
        <f t="shared" si="35"/>
        <v/>
      </c>
      <c r="AT22" s="67" t="str">
        <f t="shared" si="34"/>
        <v/>
      </c>
      <c r="AU22" s="68" t="str">
        <f t="shared" si="34"/>
        <v/>
      </c>
      <c r="AV22" s="68" t="str">
        <f t="shared" si="34"/>
        <v>X</v>
      </c>
      <c r="AW22" s="68" t="str">
        <f t="shared" si="26"/>
        <v/>
      </c>
      <c r="AX22" s="68" t="str">
        <f t="shared" si="26"/>
        <v/>
      </c>
      <c r="AY22" s="68" t="str">
        <f t="shared" si="32"/>
        <v/>
      </c>
      <c r="AZ22" s="68" t="str">
        <f>IF(OR(AZ$3/$S22=1,AZ$3/$S22=2,AZ$3/$S22=3,AZ$3/$S22=4,AZ$3/$S22=5,AZ$3/$S22=6,AZ$3/$S22=7,AZ$3/$S22=8,AZ$3/$S22=9,AZ$3/$S22=10,AZ$3/$S22=11,AZ$3/$S22=12,AZ$3/$S22=13,AZ$3/$S22=14,AZ$3/$S22=15,AZ$3/$S22=16,AZ$3/$S22=17,AZ$3/$S22=18,AZ$3/$S22=19,AZ$3/$S22=20,AZ$3/$S22=21,AZ$3/$S22=22,AZ$3/$S22=23,AZ$3/$S22=24,AZ$3/$S22=25,AZ$3/$S22=26,AZ$3/$S22=27,AZ$3/$S22=28,AZ$3/$S22=29,AZ$3/$S22=30,AZ$3/$S22=31,AZ$3/$S22=32,AZ$3/$S22=33),"X","")</f>
        <v/>
      </c>
      <c r="BA22" s="68" t="str">
        <f t="shared" si="36"/>
        <v/>
      </c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  <c r="DR22" s="60"/>
      <c r="DS22" s="60"/>
      <c r="DT22" s="60"/>
      <c r="DU22" s="60"/>
      <c r="DV22" s="60"/>
      <c r="DW22" s="60"/>
      <c r="DX22" s="60"/>
      <c r="DY22" s="60"/>
      <c r="DZ22" s="60"/>
      <c r="EA22" s="60"/>
      <c r="EB22" s="60"/>
      <c r="EC22" s="60"/>
      <c r="ED22" s="60"/>
      <c r="EE22" s="60"/>
      <c r="EF22" s="60"/>
      <c r="EG22" s="60"/>
      <c r="EH22" s="60"/>
      <c r="EI22" s="60"/>
      <c r="EJ22" s="60"/>
      <c r="EK22" s="60"/>
      <c r="EL22" s="60"/>
      <c r="EM22" s="60"/>
      <c r="EN22" s="60"/>
      <c r="EO22" s="60"/>
      <c r="EP22" s="60"/>
      <c r="EQ22" s="60"/>
      <c r="ER22" s="60"/>
      <c r="ES22" s="60"/>
      <c r="ET22" s="60"/>
      <c r="EU22" s="60"/>
      <c r="EV22" s="60"/>
      <c r="EW22" s="60"/>
      <c r="EX22" s="60"/>
      <c r="EY22" s="60"/>
      <c r="EZ22" s="60"/>
      <c r="FA22" s="60"/>
      <c r="FB22" s="60"/>
      <c r="FC22" s="60"/>
      <c r="FD22" s="60"/>
      <c r="FE22" s="60"/>
      <c r="FF22" s="60"/>
      <c r="FG22" s="60"/>
      <c r="FH22" s="60"/>
      <c r="FI22" s="60"/>
      <c r="FJ22" s="60"/>
      <c r="FK22" s="60"/>
      <c r="FL22" s="60"/>
      <c r="FM22" s="60"/>
      <c r="FN22" s="60"/>
      <c r="FO22" s="60"/>
      <c r="FP22" s="60"/>
      <c r="FQ22" s="60"/>
      <c r="FR22" s="60"/>
      <c r="FS22" s="60"/>
      <c r="FT22" s="60"/>
      <c r="FU22" s="60"/>
      <c r="FV22" s="60"/>
      <c r="FW22" s="60"/>
      <c r="FX22" s="60"/>
      <c r="FY22" s="60"/>
      <c r="FZ22" s="60"/>
      <c r="GA22" s="60"/>
      <c r="GB22" s="60"/>
      <c r="GC22" s="60"/>
      <c r="GD22" s="60"/>
      <c r="GE22" s="60"/>
      <c r="GF22" s="60"/>
      <c r="GG22" s="60"/>
      <c r="GH22" s="60"/>
      <c r="GI22" s="60"/>
      <c r="GJ22" s="60"/>
      <c r="GK22" s="60"/>
      <c r="GL22" s="60"/>
      <c r="GM22" s="60"/>
      <c r="GN22" s="60"/>
      <c r="GO22" s="60"/>
      <c r="GP22" s="60"/>
      <c r="GQ22" s="60"/>
      <c r="GR22" s="60"/>
      <c r="GS22" s="60"/>
      <c r="GT22" s="60"/>
      <c r="GU22" s="60"/>
      <c r="GV22" s="60"/>
      <c r="GW22" s="60"/>
      <c r="GX22" s="60"/>
      <c r="GY22" s="60"/>
      <c r="GZ22" s="60"/>
      <c r="HA22" s="60"/>
      <c r="HB22" s="60"/>
      <c r="HC22" s="60"/>
      <c r="HD22" s="60"/>
      <c r="HE22" s="60"/>
      <c r="HF22" s="60"/>
      <c r="HG22" s="60"/>
      <c r="HH22" s="60"/>
      <c r="HI22" s="60"/>
      <c r="HJ22" s="60"/>
      <c r="HK22" s="60"/>
      <c r="HL22" s="60"/>
      <c r="HM22" s="60"/>
      <c r="HN22" s="60"/>
      <c r="HO22" s="60"/>
      <c r="HP22" s="60"/>
      <c r="HQ22" s="60"/>
      <c r="HR22" s="60"/>
      <c r="HS22" s="60"/>
      <c r="HT22" s="60"/>
      <c r="HU22" s="60"/>
      <c r="HV22" s="60"/>
      <c r="HW22" s="60"/>
      <c r="HX22" s="60"/>
      <c r="HY22" s="60"/>
      <c r="HZ22" s="60"/>
      <c r="IA22" s="60"/>
      <c r="IB22" s="60"/>
      <c r="IC22" s="60"/>
      <c r="ID22" s="60"/>
      <c r="IE22" s="60"/>
      <c r="IF22" s="60"/>
      <c r="IG22" s="60"/>
      <c r="IH22" s="60"/>
      <c r="II22" s="60"/>
      <c r="IJ22" s="60"/>
      <c r="IK22" s="60"/>
      <c r="IL22" s="60"/>
      <c r="IM22" s="60"/>
      <c r="IN22" s="60"/>
      <c r="IO22" s="60"/>
      <c r="IP22" s="60"/>
      <c r="IQ22" s="60"/>
      <c r="IR22" s="60"/>
      <c r="IS22" s="60"/>
      <c r="IT22" s="60"/>
      <c r="IU22" s="60"/>
      <c r="IV22" s="60"/>
      <c r="IW22" s="60"/>
      <c r="IX22" s="60"/>
      <c r="IY22" s="60"/>
      <c r="IZ22" s="60"/>
      <c r="JA22" s="60"/>
      <c r="JB22" s="60"/>
      <c r="JC22" s="60"/>
      <c r="JD22" s="60"/>
      <c r="JE22" s="60"/>
      <c r="JF22" s="60"/>
      <c r="JG22" s="60"/>
      <c r="JH22" s="60"/>
      <c r="JI22" s="60"/>
      <c r="JJ22" s="60"/>
      <c r="JK22" s="60"/>
      <c r="JL22" s="60"/>
      <c r="JM22" s="60"/>
      <c r="JN22" s="60"/>
      <c r="JO22" s="60"/>
      <c r="JP22" s="60"/>
      <c r="JQ22" s="60"/>
      <c r="JR22" s="60"/>
      <c r="JS22" s="60"/>
      <c r="JT22" s="60"/>
      <c r="JU22" s="60"/>
      <c r="JV22" s="60"/>
      <c r="JW22" s="60"/>
      <c r="JX22" s="60"/>
      <c r="JY22" s="60"/>
      <c r="JZ22" s="60"/>
      <c r="KA22" s="60"/>
      <c r="KB22" s="60"/>
      <c r="KC22" s="60"/>
      <c r="KD22" s="60"/>
      <c r="KE22" s="60"/>
      <c r="KF22" s="60"/>
      <c r="KG22" s="60"/>
      <c r="KH22" s="60"/>
      <c r="KI22" s="60"/>
      <c r="KJ22" s="60"/>
      <c r="KK22" s="60"/>
      <c r="KL22" s="60"/>
      <c r="KM22" s="60"/>
      <c r="KN22" s="60"/>
      <c r="KO22" s="60"/>
      <c r="KP22" s="60"/>
      <c r="KQ22" s="60"/>
      <c r="KR22" s="60"/>
      <c r="KS22" s="60"/>
      <c r="KT22" s="60"/>
      <c r="KU22" s="60"/>
      <c r="KV22" s="60"/>
      <c r="KW22" s="60"/>
      <c r="KX22" s="60"/>
      <c r="KY22" s="60"/>
      <c r="KZ22" s="60"/>
      <c r="LA22" s="60"/>
      <c r="LB22" s="60"/>
      <c r="LC22" s="60"/>
      <c r="LD22" s="60"/>
      <c r="LE22" s="60"/>
      <c r="LF22" s="60"/>
      <c r="LG22" s="60"/>
      <c r="LH22" s="60"/>
      <c r="LI22" s="60"/>
      <c r="LJ22" s="60"/>
      <c r="LK22" s="60"/>
      <c r="LL22" s="60"/>
      <c r="LM22" s="60"/>
      <c r="LN22" s="60"/>
      <c r="LO22" s="60"/>
      <c r="LP22" s="60"/>
      <c r="LQ22" s="60"/>
      <c r="LR22" s="60"/>
      <c r="LS22" s="60"/>
      <c r="LT22" s="60"/>
      <c r="LU22" s="60"/>
      <c r="LV22" s="60"/>
      <c r="LW22" s="60"/>
      <c r="LX22" s="60"/>
      <c r="LY22" s="60"/>
      <c r="LZ22" s="60"/>
      <c r="MA22" s="60"/>
      <c r="MB22" s="60"/>
      <c r="MC22" s="60"/>
      <c r="MD22" s="60"/>
      <c r="ME22" s="60"/>
      <c r="MF22" s="60"/>
      <c r="MG22" s="60"/>
      <c r="MH22" s="60"/>
      <c r="MI22" s="60"/>
      <c r="MJ22" s="60"/>
      <c r="MK22" s="60"/>
      <c r="ML22" s="60"/>
      <c r="MM22" s="60"/>
      <c r="MN22" s="60"/>
      <c r="MO22" s="60"/>
      <c r="MP22" s="60"/>
      <c r="MQ22" s="60"/>
      <c r="MR22" s="60"/>
      <c r="MS22" s="60"/>
      <c r="MT22" s="60"/>
      <c r="MU22" s="60"/>
      <c r="MV22" s="60"/>
      <c r="MW22" s="60"/>
      <c r="MX22" s="60"/>
      <c r="MY22" s="60"/>
      <c r="MZ22" s="60"/>
      <c r="NA22" s="60"/>
      <c r="NB22" s="60"/>
      <c r="NC22" s="60"/>
      <c r="ND22" s="60"/>
      <c r="NE22" s="60"/>
      <c r="NF22" s="60"/>
      <c r="NG22" s="60"/>
      <c r="NH22" s="60"/>
      <c r="NI22" s="60"/>
      <c r="NJ22" s="60"/>
      <c r="NK22" s="60"/>
      <c r="NL22" s="60"/>
      <c r="NM22" s="60"/>
      <c r="NN22" s="60"/>
      <c r="NO22" s="60"/>
      <c r="NP22" s="60"/>
      <c r="NQ22" s="60"/>
      <c r="NR22" s="60"/>
      <c r="NS22" s="60"/>
      <c r="NT22" s="60"/>
      <c r="NU22" s="60"/>
      <c r="NV22" s="60"/>
      <c r="NW22" s="60"/>
      <c r="NX22" s="60"/>
      <c r="NY22" s="60"/>
      <c r="NZ22" s="60"/>
      <c r="OA22" s="60"/>
      <c r="OB22" s="60"/>
      <c r="OC22" s="60"/>
      <c r="OD22" s="60"/>
      <c r="OE22" s="60"/>
      <c r="OF22" s="60"/>
      <c r="OG22" s="60"/>
      <c r="OH22" s="60"/>
      <c r="OI22" s="60"/>
      <c r="OJ22" s="60"/>
      <c r="OK22" s="60"/>
      <c r="OL22" s="60"/>
      <c r="OM22" s="60"/>
      <c r="ON22" s="60"/>
      <c r="OO22" s="60"/>
      <c r="OP22" s="60"/>
      <c r="OQ22" s="60"/>
      <c r="OR22" s="60"/>
      <c r="OS22" s="60"/>
      <c r="OT22" s="60"/>
      <c r="OU22" s="60"/>
      <c r="OV22" s="60"/>
      <c r="OW22" s="60"/>
      <c r="OX22" s="60"/>
      <c r="OY22" s="60"/>
      <c r="OZ22" s="60"/>
      <c r="PA22" s="60"/>
      <c r="PB22" s="60"/>
      <c r="PC22" s="60"/>
      <c r="PD22" s="60"/>
      <c r="PE22" s="60"/>
      <c r="PF22" s="60"/>
      <c r="PG22" s="60"/>
      <c r="PH22" s="60"/>
      <c r="PI22" s="60"/>
      <c r="PJ22" s="60"/>
      <c r="PK22" s="60"/>
      <c r="PL22" s="60"/>
      <c r="PM22" s="60"/>
      <c r="PN22" s="60"/>
      <c r="PO22" s="60"/>
      <c r="PP22" s="60"/>
      <c r="PQ22" s="60"/>
      <c r="PR22" s="60"/>
      <c r="PS22" s="60"/>
      <c r="PT22" s="60"/>
      <c r="PU22" s="60"/>
      <c r="PV22" s="60"/>
      <c r="PW22" s="60"/>
      <c r="PX22" s="60"/>
      <c r="PY22" s="60"/>
      <c r="PZ22" s="60"/>
      <c r="QA22" s="60"/>
      <c r="QB22" s="60"/>
      <c r="QC22" s="60"/>
      <c r="QD22" s="60"/>
      <c r="QE22" s="60"/>
      <c r="QF22" s="60"/>
      <c r="QG22" s="60"/>
      <c r="QH22" s="60"/>
      <c r="QI22" s="60"/>
      <c r="QJ22" s="60"/>
      <c r="QK22" s="60"/>
      <c r="QL22" s="60"/>
      <c r="QM22" s="60"/>
      <c r="QN22" s="60"/>
      <c r="QO22" s="60"/>
      <c r="QP22" s="60"/>
      <c r="QQ22" s="60"/>
      <c r="QR22" s="60"/>
      <c r="QS22" s="60"/>
      <c r="QT22" s="60"/>
      <c r="QU22" s="60"/>
      <c r="QV22" s="60"/>
      <c r="QW22" s="60"/>
      <c r="QX22" s="60"/>
      <c r="QY22" s="60"/>
      <c r="QZ22" s="60"/>
      <c r="RA22" s="60"/>
      <c r="RB22" s="60"/>
      <c r="RC22" s="60"/>
      <c r="RD22" s="60"/>
      <c r="RE22" s="60"/>
      <c r="RF22" s="60"/>
      <c r="RG22" s="60"/>
      <c r="RH22" s="60"/>
      <c r="RI22" s="60"/>
      <c r="RJ22" s="60"/>
      <c r="RK22" s="60"/>
      <c r="RL22" s="60"/>
      <c r="RM22" s="60"/>
      <c r="RN22" s="60"/>
      <c r="RO22" s="60"/>
      <c r="RP22" s="60"/>
      <c r="RQ22" s="60"/>
      <c r="RR22" s="60"/>
      <c r="RS22" s="60"/>
      <c r="RT22" s="60"/>
      <c r="RU22" s="60"/>
      <c r="RV22" s="60"/>
      <c r="RW22" s="60"/>
      <c r="RX22" s="60"/>
      <c r="RY22" s="60"/>
      <c r="RZ22" s="60"/>
      <c r="SA22" s="60"/>
      <c r="SB22" s="60"/>
      <c r="SC22" s="60"/>
      <c r="SD22" s="60"/>
      <c r="SE22" s="60"/>
      <c r="SF22" s="60"/>
      <c r="SG22" s="60"/>
      <c r="SH22" s="60"/>
      <c r="SI22" s="60"/>
      <c r="SJ22" s="60"/>
      <c r="SK22" s="60"/>
      <c r="SL22" s="60"/>
      <c r="SM22" s="60"/>
      <c r="SN22" s="60"/>
      <c r="SO22" s="60"/>
      <c r="SP22" s="60"/>
      <c r="SQ22" s="60"/>
      <c r="SR22" s="60"/>
      <c r="SS22" s="60"/>
      <c r="ST22" s="60"/>
      <c r="SU22" s="60"/>
      <c r="SV22" s="60"/>
      <c r="SW22" s="60"/>
      <c r="SX22" s="60"/>
      <c r="SY22" s="60"/>
      <c r="SZ22" s="60"/>
      <c r="TA22" s="60"/>
      <c r="TB22" s="60"/>
      <c r="TC22" s="60"/>
      <c r="TD22" s="60"/>
      <c r="TE22" s="60"/>
      <c r="TF22" s="60"/>
      <c r="TG22" s="60"/>
      <c r="TH22" s="60"/>
      <c r="TI22" s="60"/>
      <c r="TJ22" s="60"/>
      <c r="TK22" s="60"/>
      <c r="TL22" s="60"/>
      <c r="TM22" s="60"/>
      <c r="TN22" s="60"/>
      <c r="TO22" s="60"/>
      <c r="TP22" s="60"/>
      <c r="TQ22" s="60"/>
      <c r="TR22" s="60"/>
      <c r="TS22" s="60"/>
      <c r="TT22" s="60"/>
      <c r="TU22" s="60"/>
      <c r="TV22" s="60"/>
      <c r="TW22" s="60"/>
      <c r="TX22" s="60"/>
      <c r="TY22" s="60"/>
      <c r="TZ22" s="60"/>
      <c r="UA22" s="60"/>
      <c r="UB22" s="60"/>
      <c r="UC22" s="60"/>
      <c r="UD22" s="60"/>
      <c r="UE22" s="60"/>
      <c r="UF22" s="60"/>
      <c r="UG22" s="60"/>
      <c r="UH22" s="60"/>
      <c r="UI22" s="60"/>
      <c r="UJ22" s="60"/>
      <c r="UK22" s="60"/>
      <c r="UL22" s="60"/>
      <c r="UM22" s="60"/>
      <c r="UN22" s="60"/>
      <c r="UO22" s="60"/>
      <c r="UP22" s="60"/>
      <c r="UQ22" s="60"/>
      <c r="UR22" s="60"/>
      <c r="US22" s="60"/>
      <c r="UT22" s="60"/>
      <c r="UU22" s="60"/>
      <c r="UV22" s="60"/>
      <c r="UW22" s="60"/>
      <c r="UX22" s="60"/>
      <c r="UY22" s="60"/>
      <c r="UZ22" s="60"/>
      <c r="VA22" s="60"/>
      <c r="VB22" s="60"/>
      <c r="VC22" s="60"/>
      <c r="VD22" s="60"/>
      <c r="VE22" s="60"/>
      <c r="VF22" s="60"/>
      <c r="VG22" s="60"/>
      <c r="VH22" s="60"/>
      <c r="VI22" s="60"/>
      <c r="VJ22" s="60"/>
      <c r="VK22" s="60"/>
      <c r="VL22" s="60"/>
      <c r="VM22" s="60"/>
      <c r="VN22" s="60"/>
      <c r="VO22" s="60"/>
      <c r="VP22" s="60"/>
      <c r="VQ22" s="60"/>
      <c r="VR22" s="60"/>
      <c r="VS22" s="60"/>
      <c r="VT22" s="60"/>
      <c r="VU22" s="60"/>
      <c r="VV22" s="60"/>
      <c r="VW22" s="60"/>
      <c r="VX22" s="60"/>
      <c r="VY22" s="60"/>
      <c r="VZ22" s="60"/>
      <c r="WA22" s="60"/>
      <c r="WB22" s="60"/>
      <c r="WC22" s="60"/>
      <c r="WD22" s="60"/>
      <c r="WE22" s="60"/>
      <c r="WF22" s="60"/>
      <c r="WG22" s="60"/>
      <c r="WH22" s="60"/>
      <c r="WI22" s="60"/>
      <c r="WJ22" s="60"/>
      <c r="WK22" s="60"/>
      <c r="WL22" s="60"/>
      <c r="WM22" s="60"/>
      <c r="WN22" s="60"/>
      <c r="WO22" s="60"/>
      <c r="WP22" s="60"/>
      <c r="WQ22" s="60"/>
      <c r="WR22" s="60"/>
      <c r="WS22" s="60"/>
      <c r="WT22" s="60"/>
      <c r="WU22" s="60"/>
      <c r="WV22" s="60"/>
      <c r="WW22" s="60"/>
      <c r="WX22" s="60"/>
      <c r="WY22" s="60"/>
      <c r="WZ22" s="60"/>
      <c r="XA22" s="60"/>
      <c r="XB22" s="60"/>
      <c r="XC22" s="60"/>
      <c r="XD22" s="60"/>
      <c r="XE22" s="60"/>
      <c r="XF22" s="60"/>
      <c r="XG22" s="60"/>
      <c r="XH22" s="60"/>
      <c r="XI22" s="60"/>
      <c r="XJ22" s="60"/>
      <c r="XK22" s="60"/>
      <c r="XL22" s="60"/>
      <c r="XM22" s="60"/>
      <c r="XN22" s="60"/>
      <c r="XO22" s="60"/>
      <c r="XP22" s="60"/>
      <c r="XQ22" s="60"/>
      <c r="XR22" s="60"/>
      <c r="XS22" s="60"/>
      <c r="XT22" s="60"/>
      <c r="XU22" s="60"/>
      <c r="XV22" s="60"/>
      <c r="XW22" s="60"/>
      <c r="XX22" s="60"/>
      <c r="XY22" s="60"/>
      <c r="XZ22" s="60"/>
      <c r="YA22" s="60"/>
      <c r="YB22" s="60"/>
      <c r="YC22" s="60"/>
      <c r="YD22" s="60"/>
      <c r="YE22" s="60"/>
      <c r="YF22" s="60"/>
      <c r="YG22" s="60"/>
      <c r="YH22" s="60"/>
      <c r="YI22" s="60"/>
      <c r="YJ22" s="60"/>
      <c r="YK22" s="60"/>
      <c r="YL22" s="60"/>
      <c r="YM22" s="60"/>
      <c r="YN22" s="60"/>
      <c r="YO22" s="60"/>
      <c r="YP22" s="60"/>
      <c r="YQ22" s="60"/>
      <c r="YR22" s="60"/>
      <c r="YS22" s="60"/>
      <c r="YT22" s="60"/>
      <c r="YU22" s="60"/>
      <c r="YV22" s="60"/>
      <c r="YW22" s="60"/>
      <c r="YX22" s="60"/>
      <c r="YY22" s="60"/>
      <c r="YZ22" s="60"/>
      <c r="ZA22" s="60"/>
      <c r="ZB22" s="60"/>
      <c r="ZC22" s="60"/>
      <c r="ZD22" s="60"/>
      <c r="ZE22" s="60"/>
      <c r="ZF22" s="60"/>
      <c r="ZG22" s="60"/>
      <c r="ZH22" s="60"/>
      <c r="ZI22" s="60"/>
      <c r="ZJ22" s="60"/>
      <c r="ZK22" s="60"/>
      <c r="ZL22" s="60"/>
      <c r="ZM22" s="60"/>
      <c r="ZN22" s="60"/>
      <c r="ZO22" s="60"/>
      <c r="ZP22" s="60"/>
      <c r="ZQ22" s="60"/>
      <c r="ZR22" s="60"/>
      <c r="ZS22" s="60"/>
      <c r="ZT22" s="60"/>
      <c r="ZU22" s="60"/>
      <c r="ZV22" s="60"/>
      <c r="ZW22" s="60"/>
      <c r="ZX22" s="60"/>
      <c r="ZY22" s="60"/>
      <c r="ZZ22" s="60"/>
      <c r="AAA22" s="60"/>
      <c r="AAB22" s="60"/>
      <c r="AAC22" s="60"/>
      <c r="AAD22" s="60"/>
      <c r="AAE22" s="60"/>
      <c r="AAF22" s="60"/>
      <c r="AAG22" s="60"/>
      <c r="AAH22" s="60"/>
      <c r="AAI22" s="60"/>
      <c r="AAJ22" s="60"/>
      <c r="AAK22" s="60"/>
      <c r="AAL22" s="60"/>
      <c r="AAM22" s="60"/>
      <c r="AAN22" s="60"/>
      <c r="AAO22" s="60"/>
      <c r="AAP22" s="60"/>
      <c r="AAQ22" s="60"/>
      <c r="AAR22" s="60"/>
      <c r="AAS22" s="60"/>
      <c r="AAT22" s="60"/>
    </row>
    <row r="23" spans="1:724" s="46" customFormat="1" ht="21" customHeight="1">
      <c r="A23" s="83">
        <v>1</v>
      </c>
      <c r="B23" s="58">
        <v>5301456</v>
      </c>
      <c r="C23" s="27" t="s">
        <v>186</v>
      </c>
      <c r="D23" s="78" t="s">
        <v>51</v>
      </c>
      <c r="E23" s="64">
        <v>1</v>
      </c>
      <c r="F23" s="30">
        <f>VLOOKUP(B23,'Estampados por manguera'!A$2:B$500,2,FALSE)</f>
        <v>1</v>
      </c>
      <c r="G23" s="30">
        <f t="shared" si="0"/>
        <v>1</v>
      </c>
      <c r="H23" s="32">
        <v>6</v>
      </c>
      <c r="I23" s="30">
        <f t="shared" si="1"/>
        <v>6</v>
      </c>
      <c r="J23" s="32">
        <f t="shared" si="2"/>
        <v>180</v>
      </c>
      <c r="K23" s="30">
        <f t="shared" si="3"/>
        <v>186</v>
      </c>
      <c r="L23" s="32">
        <v>1226</v>
      </c>
      <c r="M23" s="30">
        <f>VLOOKUP(B23,'Mangueras por contenedor'!A$2:B$500,2,FALSE)</f>
        <v>35</v>
      </c>
      <c r="N23" s="45">
        <f t="shared" si="4"/>
        <v>2.8571428571428571E-2</v>
      </c>
      <c r="O23" s="11">
        <f t="shared" si="5"/>
        <v>28</v>
      </c>
      <c r="P23" s="32">
        <f t="shared" si="6"/>
        <v>210</v>
      </c>
      <c r="Q23" s="32">
        <v>1</v>
      </c>
      <c r="R23" s="32">
        <f t="shared" si="8"/>
        <v>210</v>
      </c>
      <c r="S23" s="32">
        <f t="shared" si="9"/>
        <v>28</v>
      </c>
      <c r="T23" s="32">
        <f t="shared" si="10"/>
        <v>35</v>
      </c>
      <c r="U23" s="59" t="str">
        <f t="shared" si="28"/>
        <v/>
      </c>
      <c r="V23" s="59" t="str">
        <f t="shared" si="28"/>
        <v/>
      </c>
      <c r="W23" s="59" t="str">
        <f t="shared" si="28"/>
        <v/>
      </c>
      <c r="X23" s="59" t="str">
        <f t="shared" si="28"/>
        <v/>
      </c>
      <c r="Y23" s="59" t="str">
        <f t="shared" si="28"/>
        <v/>
      </c>
      <c r="Z23" s="59" t="str">
        <f t="shared" si="28"/>
        <v/>
      </c>
      <c r="AA23" s="59" t="str">
        <f t="shared" si="28"/>
        <v/>
      </c>
      <c r="AB23" s="59" t="str">
        <f t="shared" si="28"/>
        <v/>
      </c>
      <c r="AC23" s="59" t="str">
        <f t="shared" si="28"/>
        <v/>
      </c>
      <c r="AD23" s="59" t="str">
        <f t="shared" si="28"/>
        <v/>
      </c>
      <c r="AE23" s="59" t="str">
        <f t="shared" si="19"/>
        <v/>
      </c>
      <c r="AF23" s="59" t="str">
        <f t="shared" si="19"/>
        <v/>
      </c>
      <c r="AG23" s="59" t="str">
        <f t="shared" si="19"/>
        <v/>
      </c>
      <c r="AH23" s="67" t="str">
        <f t="shared" si="19"/>
        <v/>
      </c>
      <c r="AI23" s="67" t="str">
        <f t="shared" si="24"/>
        <v/>
      </c>
      <c r="AJ23" s="67" t="str">
        <f t="shared" si="27"/>
        <v/>
      </c>
      <c r="AK23" s="67" t="str">
        <f t="shared" si="29"/>
        <v/>
      </c>
      <c r="AL23" s="67" t="str">
        <f t="shared" si="25"/>
        <v/>
      </c>
      <c r="AM23" s="67" t="str">
        <f t="shared" si="33"/>
        <v/>
      </c>
      <c r="AN23" s="67" t="str">
        <f t="shared" si="33"/>
        <v/>
      </c>
      <c r="AO23" s="67" t="str">
        <f t="shared" si="33"/>
        <v/>
      </c>
      <c r="AP23" s="67" t="str">
        <f t="shared" si="31"/>
        <v/>
      </c>
      <c r="AQ23" s="67" t="str">
        <f t="shared" si="21"/>
        <v/>
      </c>
      <c r="AR23" s="67" t="str">
        <f t="shared" si="35"/>
        <v/>
      </c>
      <c r="AS23" s="67" t="str">
        <f t="shared" si="35"/>
        <v/>
      </c>
      <c r="AT23" s="67" t="str">
        <f t="shared" si="34"/>
        <v/>
      </c>
      <c r="AU23" s="68" t="str">
        <f t="shared" si="34"/>
        <v/>
      </c>
      <c r="AV23" s="68" t="str">
        <f t="shared" si="34"/>
        <v>X</v>
      </c>
      <c r="AW23" s="68" t="str">
        <f t="shared" si="26"/>
        <v/>
      </c>
      <c r="AX23" s="68" t="str">
        <f t="shared" si="26"/>
        <v/>
      </c>
      <c r="AY23" s="68" t="str">
        <f t="shared" si="32"/>
        <v/>
      </c>
      <c r="AZ23" s="68" t="str">
        <f>IF(OR(AZ$3/$S23=1,AZ$3/$S23=2,AZ$3/$S23=3,AZ$3/$S23=4,AZ$3/$S23=5,AZ$3/$S23=6,AZ$3/$S23=7,AZ$3/$S23=8,AZ$3/$S23=9,AZ$3/$S23=10,AZ$3/$S23=11,AZ$3/$S23=12,AZ$3/$S23=13,AZ$3/$S23=14,AZ$3/$S23=15,AZ$3/$S23=16,AZ$3/$S23=17,AZ$3/$S23=18,AZ$3/$S23=19,AZ$3/$S23=20,AZ$3/$S23=21,AZ$3/$S23=22,AZ$3/$S23=23,AZ$3/$S23=24,AZ$3/$S23=25,AZ$3/$S23=26,AZ$3/$S23=27,AZ$3/$S23=28,AZ$3/$S23=29,AZ$3/$S23=30,AZ$3/$S23=31,AZ$3/$S23=32,AZ$3/$S23=33),"X","")</f>
        <v/>
      </c>
      <c r="BA23" s="68" t="str">
        <f t="shared" si="36"/>
        <v/>
      </c>
      <c r="CH23" s="60"/>
      <c r="CI23" s="60"/>
    </row>
    <row r="24" spans="1:724" s="46" customFormat="1" ht="21" customHeight="1">
      <c r="A24" s="83">
        <v>1</v>
      </c>
      <c r="B24" s="58">
        <v>5301486</v>
      </c>
      <c r="C24" s="27" t="s">
        <v>48</v>
      </c>
      <c r="D24" s="78" t="s">
        <v>51</v>
      </c>
      <c r="E24" s="64">
        <v>1</v>
      </c>
      <c r="F24" s="30">
        <f>VLOOKUP(B24,'Estampados por manguera'!A$2:B$500,2,FALSE)</f>
        <v>1</v>
      </c>
      <c r="G24" s="30">
        <f t="shared" si="0"/>
        <v>1</v>
      </c>
      <c r="H24" s="32">
        <v>6</v>
      </c>
      <c r="I24" s="30">
        <f t="shared" si="1"/>
        <v>6</v>
      </c>
      <c r="J24" s="32">
        <f t="shared" si="2"/>
        <v>180</v>
      </c>
      <c r="K24" s="30">
        <f t="shared" si="3"/>
        <v>186</v>
      </c>
      <c r="L24" s="32">
        <v>1225</v>
      </c>
      <c r="M24" s="30">
        <f>VLOOKUP(B24,'Mangueras por contenedor'!A$2:B$500,2,FALSE)</f>
        <v>36</v>
      </c>
      <c r="N24" s="45">
        <f t="shared" si="4"/>
        <v>2.7777777777777776E-2</v>
      </c>
      <c r="O24" s="11">
        <f t="shared" si="5"/>
        <v>29</v>
      </c>
      <c r="P24" s="32">
        <f t="shared" si="6"/>
        <v>216</v>
      </c>
      <c r="Q24" s="32">
        <v>1</v>
      </c>
      <c r="R24" s="32">
        <f t="shared" si="8"/>
        <v>216</v>
      </c>
      <c r="S24" s="32">
        <f t="shared" si="9"/>
        <v>29</v>
      </c>
      <c r="T24" s="32">
        <f t="shared" si="10"/>
        <v>36</v>
      </c>
      <c r="U24" s="59" t="str">
        <f t="shared" ref="U24:AD30" si="37">IF(OR(U$3/$S24=1,U$3/$S24=2,U$3/$S24=3,U$3/$S24=4,U$3/$S24=5,U$3/$S24=6,U$3/$S24=7,U$3/$S24=8,U$3/$S24=9,U$3/$S24=10,U$3/$S24=11,U$3/$S24=12,U$3/$S24=13,U$3/$S24=14,U$3/$S24=15,U$3/$S24=16,U$3/$S24=17,U$3/$S24=18,U$3/$S24=19,U$3/$S24=20,U$3/$S24=21,U$3/$S24=22,U$3/$S24=23,U$3/$S24=24,U$3/$S24=25,U$3/$S24=26,U$3/$S24=27,U$3/$S24=28,U$3/$S24=29,U$3/$S24=30,U$3/$S24=31,U$3/$S24=32,U$3/$S24=33),"X","")</f>
        <v/>
      </c>
      <c r="V24" s="59" t="str">
        <f t="shared" si="37"/>
        <v/>
      </c>
      <c r="W24" s="59" t="str">
        <f t="shared" si="37"/>
        <v/>
      </c>
      <c r="X24" s="59" t="str">
        <f t="shared" si="37"/>
        <v/>
      </c>
      <c r="Y24" s="59" t="str">
        <f t="shared" si="37"/>
        <v/>
      </c>
      <c r="Z24" s="59" t="str">
        <f t="shared" si="37"/>
        <v/>
      </c>
      <c r="AA24" s="59" t="str">
        <f t="shared" si="37"/>
        <v/>
      </c>
      <c r="AB24" s="59" t="str">
        <f t="shared" si="37"/>
        <v/>
      </c>
      <c r="AC24" s="59" t="str">
        <f t="shared" si="37"/>
        <v/>
      </c>
      <c r="AD24" s="59" t="str">
        <f t="shared" si="37"/>
        <v/>
      </c>
      <c r="AE24" s="59" t="str">
        <f t="shared" si="19"/>
        <v/>
      </c>
      <c r="AF24" s="59" t="str">
        <f t="shared" si="19"/>
        <v/>
      </c>
      <c r="AG24" s="59" t="str">
        <f t="shared" si="19"/>
        <v/>
      </c>
      <c r="AH24" s="67" t="str">
        <f t="shared" si="19"/>
        <v/>
      </c>
      <c r="AI24" s="67" t="str">
        <f t="shared" si="24"/>
        <v/>
      </c>
      <c r="AJ24" s="67" t="str">
        <f t="shared" si="27"/>
        <v/>
      </c>
      <c r="AK24" s="67" t="str">
        <f t="shared" si="29"/>
        <v/>
      </c>
      <c r="AL24" s="67" t="str">
        <f t="shared" si="25"/>
        <v/>
      </c>
      <c r="AM24" s="67" t="str">
        <f t="shared" si="33"/>
        <v/>
      </c>
      <c r="AN24" s="67" t="str">
        <f t="shared" si="33"/>
        <v/>
      </c>
      <c r="AO24" s="67" t="str">
        <f t="shared" si="33"/>
        <v/>
      </c>
      <c r="AP24" s="67" t="str">
        <f t="shared" si="31"/>
        <v/>
      </c>
      <c r="AQ24" s="67" t="str">
        <f t="shared" si="21"/>
        <v/>
      </c>
      <c r="AR24" s="67" t="str">
        <f t="shared" si="35"/>
        <v/>
      </c>
      <c r="AS24" s="67" t="str">
        <f t="shared" si="35"/>
        <v/>
      </c>
      <c r="AT24" s="67" t="str">
        <f t="shared" si="34"/>
        <v/>
      </c>
      <c r="AU24" s="68" t="str">
        <f t="shared" si="34"/>
        <v/>
      </c>
      <c r="AV24" s="68" t="str">
        <f t="shared" si="34"/>
        <v/>
      </c>
      <c r="AW24" s="68" t="str">
        <f t="shared" si="26"/>
        <v>X</v>
      </c>
      <c r="AX24" s="68" t="str">
        <f t="shared" si="26"/>
        <v/>
      </c>
      <c r="AY24" s="68" t="str">
        <f t="shared" si="32"/>
        <v/>
      </c>
      <c r="AZ24" s="68" t="str">
        <f>IF(OR(AZ$3/$S24=1,AZ$3/$S24=2,AZ$3/$S24=3,AZ$3/$S24=4,AZ$3/$S24=5,AZ$3/$S24=6,AZ$3/$S24=7,AZ$3/$S24=8,AZ$3/$S24=9,AZ$3/$S24=10,AZ$3/$S24=11,AZ$3/$S24=12,AZ$3/$S24=13,AZ$3/$S24=14,AZ$3/$S24=15,AZ$3/$S24=16,AZ$3/$S24=17,AZ$3/$S24=18,AZ$3/$S24=19,AZ$3/$S24=20,AZ$3/$S24=21,AZ$3/$S24=22,AZ$3/$S24=23,AZ$3/$S24=24,AZ$3/$S24=25,AZ$3/$S24=26,AZ$3/$S24=27,AZ$3/$S24=28,AZ$3/$S24=29,AZ$3/$S24=30,AZ$3/$S24=31,AZ$3/$S24=32,AZ$3/$S24=33),"X","")</f>
        <v/>
      </c>
      <c r="BA24" s="68" t="str">
        <f t="shared" si="36"/>
        <v/>
      </c>
      <c r="CH24" s="60"/>
      <c r="CI24" s="60"/>
    </row>
    <row r="25" spans="1:724" s="46" customFormat="1" ht="21" customHeight="1">
      <c r="A25" s="83">
        <v>1</v>
      </c>
      <c r="B25" s="58">
        <v>3373351</v>
      </c>
      <c r="C25" s="27" t="s">
        <v>37</v>
      </c>
      <c r="D25" s="86" t="s">
        <v>49</v>
      </c>
      <c r="E25" s="64">
        <v>1</v>
      </c>
      <c r="F25" s="30">
        <f>VLOOKUP(B25,'Estampados por manguera'!A$2:B$500,2,FALSE)</f>
        <v>1</v>
      </c>
      <c r="G25" s="30">
        <f t="shared" si="0"/>
        <v>1</v>
      </c>
      <c r="H25" s="32">
        <v>6</v>
      </c>
      <c r="I25" s="30">
        <f t="shared" si="1"/>
        <v>6</v>
      </c>
      <c r="J25" s="32">
        <f t="shared" si="2"/>
        <v>180</v>
      </c>
      <c r="K25" s="30">
        <f t="shared" si="3"/>
        <v>186</v>
      </c>
      <c r="L25" s="32">
        <v>1200</v>
      </c>
      <c r="M25" s="30">
        <f>VLOOKUP(B25,'Mangueras por contenedor'!A$2:B$500,2,FALSE)</f>
        <v>40</v>
      </c>
      <c r="N25" s="45">
        <f t="shared" si="4"/>
        <v>2.5000000000000001E-2</v>
      </c>
      <c r="O25" s="11">
        <f t="shared" si="5"/>
        <v>32</v>
      </c>
      <c r="P25" s="32">
        <f t="shared" si="6"/>
        <v>240</v>
      </c>
      <c r="Q25" s="32">
        <v>1</v>
      </c>
      <c r="R25" s="32">
        <f t="shared" si="8"/>
        <v>240</v>
      </c>
      <c r="S25" s="32">
        <f t="shared" si="9"/>
        <v>32</v>
      </c>
      <c r="T25" s="32">
        <f t="shared" si="10"/>
        <v>40</v>
      </c>
      <c r="U25" s="59" t="str">
        <f t="shared" si="37"/>
        <v/>
      </c>
      <c r="V25" s="59" t="str">
        <f t="shared" si="37"/>
        <v/>
      </c>
      <c r="W25" s="59" t="str">
        <f t="shared" si="37"/>
        <v/>
      </c>
      <c r="X25" s="59" t="str">
        <f t="shared" si="37"/>
        <v/>
      </c>
      <c r="Y25" s="59" t="str">
        <f t="shared" si="37"/>
        <v/>
      </c>
      <c r="Z25" s="59" t="str">
        <f t="shared" si="37"/>
        <v/>
      </c>
      <c r="AA25" s="59" t="str">
        <f t="shared" si="37"/>
        <v/>
      </c>
      <c r="AB25" s="59" t="str">
        <f t="shared" si="37"/>
        <v/>
      </c>
      <c r="AC25" s="59" t="str">
        <f t="shared" si="37"/>
        <v/>
      </c>
      <c r="AD25" s="59" t="str">
        <f t="shared" si="37"/>
        <v/>
      </c>
      <c r="AE25" s="59" t="str">
        <f t="shared" si="19"/>
        <v/>
      </c>
      <c r="AF25" s="59" t="str">
        <f t="shared" si="19"/>
        <v/>
      </c>
      <c r="AG25" s="59" t="str">
        <f t="shared" si="19"/>
        <v/>
      </c>
      <c r="AH25" s="67" t="str">
        <f t="shared" si="19"/>
        <v/>
      </c>
      <c r="AI25" s="67" t="str">
        <f t="shared" si="24"/>
        <v/>
      </c>
      <c r="AJ25" s="67" t="str">
        <f t="shared" si="27"/>
        <v/>
      </c>
      <c r="AK25" s="67" t="str">
        <f t="shared" si="29"/>
        <v/>
      </c>
      <c r="AL25" s="67" t="str">
        <f t="shared" si="25"/>
        <v/>
      </c>
      <c r="AM25" s="67" t="str">
        <f t="shared" si="33"/>
        <v/>
      </c>
      <c r="AN25" s="67" t="str">
        <f t="shared" si="33"/>
        <v/>
      </c>
      <c r="AO25" s="67" t="str">
        <f t="shared" si="33"/>
        <v/>
      </c>
      <c r="AP25" s="67" t="str">
        <f t="shared" si="31"/>
        <v/>
      </c>
      <c r="AQ25" s="67" t="str">
        <f t="shared" si="21"/>
        <v/>
      </c>
      <c r="AR25" s="67" t="str">
        <f t="shared" si="35"/>
        <v/>
      </c>
      <c r="AS25" s="67" t="str">
        <f t="shared" si="35"/>
        <v/>
      </c>
      <c r="AT25" s="67" t="str">
        <f t="shared" si="34"/>
        <v/>
      </c>
      <c r="AU25" s="68" t="str">
        <f t="shared" si="34"/>
        <v/>
      </c>
      <c r="AV25" s="68" t="str">
        <f t="shared" si="34"/>
        <v/>
      </c>
      <c r="AW25" s="68" t="str">
        <f t="shared" si="26"/>
        <v/>
      </c>
      <c r="AX25" s="68" t="str">
        <f t="shared" si="26"/>
        <v/>
      </c>
      <c r="AY25" s="68" t="s">
        <v>202</v>
      </c>
      <c r="AZ25" s="68"/>
      <c r="BA25" s="68" t="str">
        <f t="shared" si="36"/>
        <v/>
      </c>
      <c r="BB25" s="60"/>
      <c r="BC25"/>
      <c r="BD25" s="60"/>
      <c r="CH25" s="60"/>
      <c r="CI25" s="60"/>
    </row>
    <row r="26" spans="1:724" s="46" customFormat="1" ht="21" customHeight="1">
      <c r="A26" s="83">
        <v>1</v>
      </c>
      <c r="B26" s="58">
        <v>5301552</v>
      </c>
      <c r="C26" s="27" t="s">
        <v>187</v>
      </c>
      <c r="D26" s="78" t="s">
        <v>51</v>
      </c>
      <c r="E26" s="64">
        <v>1</v>
      </c>
      <c r="F26" s="30">
        <f>VLOOKUP(B26,'Estampados por manguera'!A$2:B$500,2,FALSE)</f>
        <v>1</v>
      </c>
      <c r="G26" s="30">
        <f t="shared" si="0"/>
        <v>1</v>
      </c>
      <c r="H26" s="32">
        <v>6</v>
      </c>
      <c r="I26" s="30">
        <f t="shared" si="1"/>
        <v>6</v>
      </c>
      <c r="J26" s="32">
        <f t="shared" si="2"/>
        <v>180</v>
      </c>
      <c r="K26" s="30">
        <f t="shared" si="3"/>
        <v>186</v>
      </c>
      <c r="L26" s="32">
        <v>1228</v>
      </c>
      <c r="M26" s="30">
        <f>VLOOKUP(B26,'Mangueras por contenedor'!A$2:B$500,2,FALSE)</f>
        <v>40</v>
      </c>
      <c r="N26" s="45">
        <f t="shared" si="4"/>
        <v>2.5000000000000001E-2</v>
      </c>
      <c r="O26" s="11">
        <f t="shared" si="5"/>
        <v>32</v>
      </c>
      <c r="P26" s="32">
        <f t="shared" si="6"/>
        <v>240</v>
      </c>
      <c r="Q26" s="32">
        <v>1</v>
      </c>
      <c r="R26" s="32">
        <f t="shared" si="8"/>
        <v>240</v>
      </c>
      <c r="S26" s="32">
        <f t="shared" si="9"/>
        <v>32</v>
      </c>
      <c r="T26" s="32">
        <f t="shared" si="10"/>
        <v>40</v>
      </c>
      <c r="U26" s="59" t="str">
        <f t="shared" si="37"/>
        <v/>
      </c>
      <c r="V26" s="59" t="str">
        <f t="shared" si="37"/>
        <v/>
      </c>
      <c r="W26" s="59" t="str">
        <f t="shared" si="37"/>
        <v/>
      </c>
      <c r="X26" s="59" t="str">
        <f t="shared" si="37"/>
        <v/>
      </c>
      <c r="Y26" s="59" t="str">
        <f t="shared" si="37"/>
        <v/>
      </c>
      <c r="Z26" s="59" t="str">
        <f t="shared" si="37"/>
        <v/>
      </c>
      <c r="AA26" s="59" t="str">
        <f t="shared" si="37"/>
        <v/>
      </c>
      <c r="AB26" s="59" t="str">
        <f t="shared" si="37"/>
        <v/>
      </c>
      <c r="AC26" s="59" t="str">
        <f t="shared" si="37"/>
        <v/>
      </c>
      <c r="AD26" s="59" t="str">
        <f t="shared" si="37"/>
        <v/>
      </c>
      <c r="AE26" s="59" t="str">
        <f t="shared" si="19"/>
        <v/>
      </c>
      <c r="AF26" s="59" t="str">
        <f t="shared" si="19"/>
        <v/>
      </c>
      <c r="AG26" s="59" t="str">
        <f t="shared" si="19"/>
        <v/>
      </c>
      <c r="AH26" s="67" t="str">
        <f t="shared" si="19"/>
        <v/>
      </c>
      <c r="AI26" s="67" t="str">
        <f t="shared" si="24"/>
        <v/>
      </c>
      <c r="AJ26" s="67" t="str">
        <f t="shared" si="27"/>
        <v/>
      </c>
      <c r="AK26" s="67" t="str">
        <f t="shared" si="29"/>
        <v/>
      </c>
      <c r="AL26" s="67" t="str">
        <f t="shared" si="25"/>
        <v/>
      </c>
      <c r="AM26" s="67" t="str">
        <f t="shared" si="33"/>
        <v/>
      </c>
      <c r="AN26" s="67" t="str">
        <f t="shared" si="33"/>
        <v/>
      </c>
      <c r="AO26" s="67" t="str">
        <f t="shared" si="33"/>
        <v/>
      </c>
      <c r="AP26" s="67" t="str">
        <f t="shared" si="31"/>
        <v/>
      </c>
      <c r="AQ26" s="67" t="str">
        <f t="shared" si="21"/>
        <v/>
      </c>
      <c r="AR26" s="67" t="str">
        <f t="shared" si="35"/>
        <v/>
      </c>
      <c r="AS26" s="67" t="str">
        <f t="shared" si="35"/>
        <v/>
      </c>
      <c r="AT26" s="67" t="str">
        <f t="shared" si="34"/>
        <v/>
      </c>
      <c r="AU26" s="68" t="str">
        <f t="shared" si="34"/>
        <v/>
      </c>
      <c r="AV26" s="68" t="str">
        <f t="shared" si="34"/>
        <v/>
      </c>
      <c r="AW26" s="68" t="str">
        <f t="shared" si="26"/>
        <v/>
      </c>
      <c r="AX26" s="68" t="str">
        <f t="shared" si="26"/>
        <v/>
      </c>
      <c r="AY26" s="68" t="str">
        <f>IF(OR(AY$3/$S26=1,AY$3/$S26=2,AY$3/$S26=3,AY$3/$S26=4,AY$3/$S26=5,AY$3/$S26=6,AY$3/$S26=7,AY$3/$S26=8,AY$3/$S26=9,AY$3/$S26=10,AY$3/$S26=11,AY$3/$S26=12,AY$3/$S26=13,AY$3/$S26=14,AY$3/$S26=15,AY$3/$S26=16,AY$3/$S26=17,AY$3/$S26=18,AY$3/$S26=19,AY$3/$S26=20,AY$3/$S26=21,AY$3/$S26=22,AY$3/$S26=23,AY$3/$S26=24,AY$3/$S26=25,AY$3/$S26=26,AY$3/$S26=27,AY$3/$S26=28,AY$3/$S26=29,AY$3/$S26=30,AY$3/$S26=31,AY$3/$S26=32,AY$3/$S26=33),"X","")</f>
        <v/>
      </c>
      <c r="AZ26" s="68" t="str">
        <f>IF(OR(AZ$3/$S26=1,AZ$3/$S26=2,AZ$3/$S26=3,AZ$3/$S26=4,AZ$3/$S26=5,AZ$3/$S26=6,AZ$3/$S26=7,AZ$3/$S26=8,AZ$3/$S26=9,AZ$3/$S26=10,AZ$3/$S26=11,AZ$3/$S26=12,AZ$3/$S26=13,AZ$3/$S26=14,AZ$3/$S26=15,AZ$3/$S26=16,AZ$3/$S26=17,AZ$3/$S26=18,AZ$3/$S26=19,AZ$3/$S26=20,AZ$3/$S26=21,AZ$3/$S26=22,AZ$3/$S26=23,AZ$3/$S26=24,AZ$3/$S26=25,AZ$3/$S26=26,AZ$3/$S26=27,AZ$3/$S26=28,AZ$3/$S26=29,AZ$3/$S26=30,AZ$3/$S26=31,AZ$3/$S26=32,AZ$3/$S26=33),"X","")</f>
        <v>X</v>
      </c>
      <c r="BA26" s="68" t="str">
        <f t="shared" si="36"/>
        <v/>
      </c>
      <c r="CH26" s="60"/>
      <c r="CI26" s="60"/>
    </row>
    <row r="27" spans="1:724" s="46" customFormat="1" ht="21" customHeight="1">
      <c r="A27" s="83">
        <v>1</v>
      </c>
      <c r="B27" s="58">
        <v>3374088</v>
      </c>
      <c r="C27" s="27" t="s">
        <v>165</v>
      </c>
      <c r="D27" s="86" t="s">
        <v>49</v>
      </c>
      <c r="E27" s="64">
        <v>1</v>
      </c>
      <c r="F27" s="30">
        <f>VLOOKUP(B27,'Estampados por manguera'!A$2:B$500,2,FALSE)</f>
        <v>2</v>
      </c>
      <c r="G27" s="30">
        <f t="shared" si="0"/>
        <v>2</v>
      </c>
      <c r="H27" s="32">
        <v>6</v>
      </c>
      <c r="I27" s="30">
        <f t="shared" si="1"/>
        <v>12</v>
      </c>
      <c r="J27" s="32">
        <f t="shared" si="2"/>
        <v>180</v>
      </c>
      <c r="K27" s="30">
        <f t="shared" si="3"/>
        <v>192</v>
      </c>
      <c r="L27" s="32">
        <v>1200</v>
      </c>
      <c r="M27" s="30">
        <f>VLOOKUP(B27,'Mangueras por contenedor'!A$2:B$500,2,FALSE)</f>
        <v>55</v>
      </c>
      <c r="N27" s="45">
        <f t="shared" si="4"/>
        <v>1.8181818181818181E-2</v>
      </c>
      <c r="O27" s="11">
        <f t="shared" si="5"/>
        <v>33</v>
      </c>
      <c r="P27" s="32">
        <f t="shared" si="6"/>
        <v>660</v>
      </c>
      <c r="Q27" s="32">
        <v>1</v>
      </c>
      <c r="R27" s="32">
        <f t="shared" si="8"/>
        <v>660</v>
      </c>
      <c r="S27" s="32">
        <f t="shared" si="9"/>
        <v>33</v>
      </c>
      <c r="T27" s="32">
        <f t="shared" si="10"/>
        <v>55</v>
      </c>
      <c r="U27" s="59" t="str">
        <f t="shared" si="37"/>
        <v/>
      </c>
      <c r="V27" s="59" t="str">
        <f t="shared" si="37"/>
        <v/>
      </c>
      <c r="W27" s="59" t="str">
        <f t="shared" si="37"/>
        <v/>
      </c>
      <c r="X27" s="59" t="str">
        <f t="shared" si="37"/>
        <v/>
      </c>
      <c r="Y27" s="59" t="str">
        <f t="shared" si="37"/>
        <v/>
      </c>
      <c r="Z27" s="59" t="str">
        <f t="shared" si="37"/>
        <v/>
      </c>
      <c r="AA27" s="59" t="str">
        <f t="shared" si="37"/>
        <v/>
      </c>
      <c r="AB27" s="59" t="str">
        <f t="shared" si="37"/>
        <v/>
      </c>
      <c r="AC27" s="59" t="str">
        <f t="shared" si="37"/>
        <v/>
      </c>
      <c r="AD27" s="59" t="str">
        <f t="shared" si="37"/>
        <v/>
      </c>
      <c r="AE27" s="59" t="str">
        <f t="shared" si="19"/>
        <v/>
      </c>
      <c r="AF27" s="59" t="str">
        <f t="shared" si="19"/>
        <v/>
      </c>
      <c r="AG27" s="59" t="str">
        <f t="shared" si="19"/>
        <v/>
      </c>
      <c r="AH27" s="67" t="str">
        <f t="shared" si="19"/>
        <v/>
      </c>
      <c r="AI27" s="67" t="str">
        <f t="shared" si="24"/>
        <v/>
      </c>
      <c r="AJ27" s="67" t="str">
        <f t="shared" si="27"/>
        <v/>
      </c>
      <c r="AK27" s="67" t="str">
        <f t="shared" si="29"/>
        <v/>
      </c>
      <c r="AL27" s="67" t="str">
        <f t="shared" si="25"/>
        <v/>
      </c>
      <c r="AM27" s="67" t="str">
        <f t="shared" si="33"/>
        <v/>
      </c>
      <c r="AN27" s="67" t="str">
        <f t="shared" si="33"/>
        <v/>
      </c>
      <c r="AO27" s="67" t="str">
        <f t="shared" si="33"/>
        <v/>
      </c>
      <c r="AP27" s="67" t="str">
        <f t="shared" si="31"/>
        <v/>
      </c>
      <c r="AQ27" s="67" t="str">
        <f t="shared" si="21"/>
        <v/>
      </c>
      <c r="AR27" s="67" t="str">
        <f t="shared" si="35"/>
        <v/>
      </c>
      <c r="AS27" s="67" t="str">
        <f t="shared" si="35"/>
        <v/>
      </c>
      <c r="AT27" s="67" t="str">
        <f t="shared" si="34"/>
        <v/>
      </c>
      <c r="AU27" s="68" t="str">
        <f t="shared" si="34"/>
        <v/>
      </c>
      <c r="AV27" s="68" t="str">
        <f t="shared" si="34"/>
        <v/>
      </c>
      <c r="AW27" s="68" t="str">
        <f t="shared" si="26"/>
        <v/>
      </c>
      <c r="AX27" s="68" t="str">
        <f t="shared" si="26"/>
        <v/>
      </c>
      <c r="AY27" s="68" t="str">
        <f>IF(OR(AY$3/$S27=1,AY$3/$S27=2,AY$3/$S27=3,AY$3/$S27=4,AY$3/$S27=5,AY$3/$S27=6,AY$3/$S27=7,AY$3/$S27=8,AY$3/$S27=9,AY$3/$S27=10,AY$3/$S27=11,AY$3/$S27=12,AY$3/$S27=13,AY$3/$S27=14,AY$3/$S27=15,AY$3/$S27=16,AY$3/$S27=17,AY$3/$S27=18,AY$3/$S27=19,AY$3/$S27=20,AY$3/$S27=21,AY$3/$S27=22,AY$3/$S27=23,AY$3/$S27=24,AY$3/$S27=25,AY$3/$S27=26,AY$3/$S27=27,AY$3/$S27=28,AY$3/$S27=29,AY$3/$S27=30,AY$3/$S27=31,AY$3/$S27=32,AY$3/$S27=33),"X","")</f>
        <v/>
      </c>
      <c r="AZ27" s="68"/>
      <c r="BA27" s="68" t="str">
        <f t="shared" si="36"/>
        <v>X</v>
      </c>
      <c r="CH27" s="60"/>
      <c r="CI27" s="60"/>
    </row>
    <row r="28" spans="1:724" s="46" customFormat="1" ht="21" customHeight="1">
      <c r="A28" s="83">
        <v>1</v>
      </c>
      <c r="B28" s="58">
        <v>3168634</v>
      </c>
      <c r="C28" s="27" t="s">
        <v>182</v>
      </c>
      <c r="D28" s="86" t="s">
        <v>49</v>
      </c>
      <c r="E28" s="64">
        <v>1</v>
      </c>
      <c r="F28" s="30">
        <f>VLOOKUP(B28,'Estampados por manguera'!A$2:B$500,2,FALSE)</f>
        <v>3</v>
      </c>
      <c r="G28" s="30">
        <f t="shared" si="0"/>
        <v>3</v>
      </c>
      <c r="H28" s="32">
        <v>6</v>
      </c>
      <c r="I28" s="30">
        <f t="shared" si="1"/>
        <v>18</v>
      </c>
      <c r="J28" s="32">
        <f t="shared" si="2"/>
        <v>180</v>
      </c>
      <c r="K28" s="30">
        <f t="shared" si="3"/>
        <v>198</v>
      </c>
      <c r="L28" s="32">
        <v>1200</v>
      </c>
      <c r="M28" s="30">
        <f>VLOOKUP(B28,'Mangueras por contenedor'!A$2:B$500,2,FALSE)</f>
        <v>50</v>
      </c>
      <c r="N28" s="45">
        <f t="shared" si="4"/>
        <v>0.02</v>
      </c>
      <c r="O28" s="11">
        <f t="shared" si="5"/>
        <v>33</v>
      </c>
      <c r="P28" s="32">
        <f t="shared" si="6"/>
        <v>900</v>
      </c>
      <c r="Q28" s="32">
        <v>1</v>
      </c>
      <c r="R28" s="32">
        <f t="shared" si="8"/>
        <v>900</v>
      </c>
      <c r="S28" s="32">
        <f t="shared" si="9"/>
        <v>33</v>
      </c>
      <c r="T28" s="32">
        <f t="shared" si="10"/>
        <v>50</v>
      </c>
      <c r="U28" s="59" t="str">
        <f t="shared" si="37"/>
        <v/>
      </c>
      <c r="V28" s="59" t="str">
        <f t="shared" si="37"/>
        <v/>
      </c>
      <c r="W28" s="59" t="str">
        <f t="shared" si="37"/>
        <v/>
      </c>
      <c r="X28" s="59" t="str">
        <f t="shared" si="37"/>
        <v/>
      </c>
      <c r="Y28" s="59" t="str">
        <f t="shared" si="37"/>
        <v/>
      </c>
      <c r="Z28" s="59" t="str">
        <f t="shared" si="37"/>
        <v/>
      </c>
      <c r="AA28" s="59" t="str">
        <f t="shared" si="37"/>
        <v/>
      </c>
      <c r="AB28" s="59" t="str">
        <f t="shared" si="37"/>
        <v/>
      </c>
      <c r="AC28" s="59" t="str">
        <f t="shared" si="37"/>
        <v/>
      </c>
      <c r="AD28" s="59" t="str">
        <f t="shared" si="37"/>
        <v/>
      </c>
      <c r="AE28" s="59" t="str">
        <f t="shared" si="19"/>
        <v/>
      </c>
      <c r="AF28" s="59" t="str">
        <f t="shared" si="19"/>
        <v/>
      </c>
      <c r="AG28" s="59" t="str">
        <f t="shared" si="19"/>
        <v/>
      </c>
      <c r="AH28" s="67" t="str">
        <f t="shared" si="19"/>
        <v/>
      </c>
      <c r="AI28" s="67" t="str">
        <f t="shared" si="24"/>
        <v/>
      </c>
      <c r="AJ28" s="67" t="str">
        <f t="shared" si="27"/>
        <v/>
      </c>
      <c r="AK28" s="67" t="str">
        <f t="shared" si="29"/>
        <v/>
      </c>
      <c r="AL28" s="67" t="str">
        <f t="shared" si="25"/>
        <v/>
      </c>
      <c r="AM28" s="67" t="str">
        <f t="shared" si="33"/>
        <v/>
      </c>
      <c r="AN28" s="67" t="str">
        <f t="shared" si="33"/>
        <v/>
      </c>
      <c r="AO28" s="67" t="str">
        <f t="shared" si="33"/>
        <v/>
      </c>
      <c r="AP28" s="67" t="str">
        <f t="shared" si="31"/>
        <v/>
      </c>
      <c r="AQ28" s="67" t="str">
        <f t="shared" si="21"/>
        <v/>
      </c>
      <c r="AR28" s="67" t="str">
        <f t="shared" si="35"/>
        <v/>
      </c>
      <c r="AS28" s="67" t="str">
        <f t="shared" si="35"/>
        <v/>
      </c>
      <c r="AT28" s="67" t="str">
        <f t="shared" si="34"/>
        <v/>
      </c>
      <c r="AU28" s="68" t="str">
        <f t="shared" si="34"/>
        <v/>
      </c>
      <c r="AV28" s="68" t="str">
        <f t="shared" si="34"/>
        <v/>
      </c>
      <c r="AW28" s="68" t="str">
        <f t="shared" si="26"/>
        <v/>
      </c>
      <c r="AX28" s="68" t="str">
        <f t="shared" si="26"/>
        <v/>
      </c>
      <c r="AY28" s="68" t="str">
        <f>IF(OR(AY$3/$S28=1,AY$3/$S28=2,AY$3/$S28=3,AY$3/$S28=4,AY$3/$S28=5,AY$3/$S28=6,AY$3/$S28=7,AY$3/$S28=8,AY$3/$S28=9,AY$3/$S28=10,AY$3/$S28=11,AY$3/$S28=12,AY$3/$S28=13,AY$3/$S28=14,AY$3/$S28=15,AY$3/$S28=16,AY$3/$S28=17,AY$3/$S28=18,AY$3/$S28=19,AY$3/$S28=20,AY$3/$S28=21,AY$3/$S28=22,AY$3/$S28=23,AY$3/$S28=24,AY$3/$S28=25,AY$3/$S28=26,AY$3/$S28=27,AY$3/$S28=28,AY$3/$S28=29,AY$3/$S28=30,AY$3/$S28=31,AY$3/$S28=32,AY$3/$S28=33),"X","")</f>
        <v/>
      </c>
      <c r="AZ28" s="68"/>
      <c r="BA28" s="68" t="str">
        <f t="shared" si="36"/>
        <v>X</v>
      </c>
      <c r="CH28" s="60"/>
      <c r="CI28" s="60"/>
    </row>
    <row r="29" spans="1:724" s="46" customFormat="1" ht="21" customHeight="1">
      <c r="A29" s="83">
        <v>1</v>
      </c>
      <c r="B29" s="58">
        <v>3168470</v>
      </c>
      <c r="C29" s="27" t="s">
        <v>34</v>
      </c>
      <c r="D29" s="86" t="s">
        <v>49</v>
      </c>
      <c r="E29" s="64">
        <v>1</v>
      </c>
      <c r="F29" s="30">
        <f>VLOOKUP(B29,'Estampados por manguera'!A$2:B$500,2,FALSE)</f>
        <v>2</v>
      </c>
      <c r="G29" s="30">
        <f t="shared" si="0"/>
        <v>2</v>
      </c>
      <c r="H29" s="32">
        <v>6</v>
      </c>
      <c r="I29" s="30">
        <f t="shared" si="1"/>
        <v>12</v>
      </c>
      <c r="J29" s="32">
        <f t="shared" si="2"/>
        <v>180</v>
      </c>
      <c r="K29" s="30">
        <f t="shared" si="3"/>
        <v>192</v>
      </c>
      <c r="L29" s="32">
        <v>1200</v>
      </c>
      <c r="M29" s="30">
        <f>VLOOKUP(B29,'Mangueras por contenedor'!A$2:B$500,2,FALSE)</f>
        <v>43</v>
      </c>
      <c r="N29" s="45">
        <f t="shared" si="4"/>
        <v>2.3255813953488372E-2</v>
      </c>
      <c r="O29" s="11">
        <f t="shared" si="5"/>
        <v>33</v>
      </c>
      <c r="P29" s="32">
        <f t="shared" si="6"/>
        <v>516</v>
      </c>
      <c r="Q29" s="32">
        <v>1</v>
      </c>
      <c r="R29" s="32">
        <f t="shared" si="8"/>
        <v>516</v>
      </c>
      <c r="S29" s="32">
        <f t="shared" si="9"/>
        <v>33</v>
      </c>
      <c r="T29" s="32">
        <f t="shared" si="10"/>
        <v>43</v>
      </c>
      <c r="U29" s="59" t="str">
        <f t="shared" si="37"/>
        <v/>
      </c>
      <c r="V29" s="59" t="str">
        <f t="shared" si="37"/>
        <v/>
      </c>
      <c r="W29" s="59" t="str">
        <f t="shared" si="37"/>
        <v/>
      </c>
      <c r="X29" s="59" t="str">
        <f t="shared" si="37"/>
        <v/>
      </c>
      <c r="Y29" s="59" t="str">
        <f t="shared" si="37"/>
        <v/>
      </c>
      <c r="Z29" s="59" t="str">
        <f t="shared" si="37"/>
        <v/>
      </c>
      <c r="AA29" s="59" t="str">
        <f t="shared" si="37"/>
        <v/>
      </c>
      <c r="AB29" s="59" t="str">
        <f t="shared" si="37"/>
        <v/>
      </c>
      <c r="AC29" s="59" t="str">
        <f t="shared" si="37"/>
        <v/>
      </c>
      <c r="AD29" s="59" t="str">
        <f t="shared" si="37"/>
        <v/>
      </c>
      <c r="AE29" s="59" t="str">
        <f t="shared" si="19"/>
        <v/>
      </c>
      <c r="AF29" s="59" t="str">
        <f t="shared" si="19"/>
        <v/>
      </c>
      <c r="AG29" s="59" t="str">
        <f t="shared" si="19"/>
        <v/>
      </c>
      <c r="AH29" s="67" t="str">
        <f t="shared" si="19"/>
        <v/>
      </c>
      <c r="AI29" s="67" t="str">
        <f t="shared" si="24"/>
        <v/>
      </c>
      <c r="AJ29" s="67" t="str">
        <f t="shared" si="27"/>
        <v/>
      </c>
      <c r="AK29" s="67" t="str">
        <f t="shared" si="29"/>
        <v/>
      </c>
      <c r="AL29" s="67" t="str">
        <f t="shared" si="25"/>
        <v/>
      </c>
      <c r="AM29" s="67" t="str">
        <f t="shared" si="33"/>
        <v/>
      </c>
      <c r="AN29" s="67" t="str">
        <f t="shared" si="33"/>
        <v/>
      </c>
      <c r="AO29" s="67" t="str">
        <f t="shared" si="33"/>
        <v/>
      </c>
      <c r="AP29" s="67" t="str">
        <f t="shared" si="31"/>
        <v/>
      </c>
      <c r="AQ29" s="67" t="str">
        <f t="shared" si="21"/>
        <v/>
      </c>
      <c r="AR29" s="67" t="str">
        <f t="shared" si="35"/>
        <v/>
      </c>
      <c r="AS29" s="67" t="str">
        <f t="shared" si="35"/>
        <v/>
      </c>
      <c r="AT29" s="67" t="str">
        <f t="shared" si="34"/>
        <v/>
      </c>
      <c r="AU29" s="68" t="str">
        <f t="shared" si="34"/>
        <v/>
      </c>
      <c r="AV29" s="68" t="str">
        <f t="shared" si="34"/>
        <v/>
      </c>
      <c r="AW29" s="68" t="str">
        <f t="shared" si="26"/>
        <v/>
      </c>
      <c r="AX29" s="68" t="str">
        <f t="shared" si="26"/>
        <v/>
      </c>
      <c r="AY29" s="68" t="str">
        <f>IF(OR(AY$3/$S29=1,AY$3/$S29=2,AY$3/$S29=3,AY$3/$S29=4,AY$3/$S29=5,AY$3/$S29=6,AY$3/$S29=7,AY$3/$S29=8,AY$3/$S29=9,AY$3/$S29=10,AY$3/$S29=11,AY$3/$S29=12,AY$3/$S29=13,AY$3/$S29=14,AY$3/$S29=15,AY$3/$S29=16,AY$3/$S29=17,AY$3/$S29=18,AY$3/$S29=19,AY$3/$S29=20,AY$3/$S29=21,AY$3/$S29=22,AY$3/$S29=23,AY$3/$S29=24,AY$3/$S29=25,AY$3/$S29=26,AY$3/$S29=27,AY$3/$S29=28,AY$3/$S29=29,AY$3/$S29=30,AY$3/$S29=31,AY$3/$S29=32,AY$3/$S29=33),"X","")</f>
        <v/>
      </c>
      <c r="AZ29" s="68"/>
      <c r="BA29" s="68" t="str">
        <f t="shared" si="36"/>
        <v>X</v>
      </c>
      <c r="CH29" s="60"/>
      <c r="CI29" s="60"/>
    </row>
    <row r="30" spans="1:724" s="46" customFormat="1" ht="21" customHeight="1">
      <c r="A30" s="83">
        <v>1</v>
      </c>
      <c r="B30" s="58">
        <v>5301549</v>
      </c>
      <c r="C30" s="27" t="s">
        <v>187</v>
      </c>
      <c r="D30" s="78" t="s">
        <v>51</v>
      </c>
      <c r="E30" s="64">
        <v>1</v>
      </c>
      <c r="F30" s="30">
        <f>VLOOKUP(B30,'Estampados por manguera'!A$2:B$500,2,FALSE)</f>
        <v>1</v>
      </c>
      <c r="G30" s="30">
        <f t="shared" si="0"/>
        <v>1</v>
      </c>
      <c r="H30" s="32">
        <v>6</v>
      </c>
      <c r="I30" s="30">
        <f t="shared" si="1"/>
        <v>6</v>
      </c>
      <c r="J30" s="32">
        <f t="shared" si="2"/>
        <v>180</v>
      </c>
      <c r="K30" s="30">
        <f t="shared" si="3"/>
        <v>186</v>
      </c>
      <c r="L30" s="32">
        <v>1227</v>
      </c>
      <c r="M30" s="30">
        <f>VLOOKUP(B30,'Mangueras por contenedor'!A$2:B$500,2,FALSE)</f>
        <v>59</v>
      </c>
      <c r="N30" s="45">
        <f t="shared" si="4"/>
        <v>1.6949152542372881E-2</v>
      </c>
      <c r="O30" s="11">
        <f t="shared" si="5"/>
        <v>33</v>
      </c>
      <c r="P30" s="32">
        <f t="shared" si="6"/>
        <v>354</v>
      </c>
      <c r="Q30" s="32">
        <v>1</v>
      </c>
      <c r="R30" s="32">
        <f t="shared" si="8"/>
        <v>354</v>
      </c>
      <c r="S30" s="32">
        <f t="shared" si="9"/>
        <v>33</v>
      </c>
      <c r="T30" s="32">
        <f t="shared" si="10"/>
        <v>59</v>
      </c>
      <c r="U30" s="59" t="str">
        <f t="shared" si="37"/>
        <v/>
      </c>
      <c r="V30" s="59" t="str">
        <f t="shared" si="37"/>
        <v/>
      </c>
      <c r="W30" s="59" t="str">
        <f t="shared" si="37"/>
        <v/>
      </c>
      <c r="X30" s="59" t="str">
        <f t="shared" si="37"/>
        <v/>
      </c>
      <c r="Y30" s="59" t="str">
        <f t="shared" si="37"/>
        <v/>
      </c>
      <c r="Z30" s="59" t="str">
        <f t="shared" si="37"/>
        <v/>
      </c>
      <c r="AA30" s="59" t="str">
        <f t="shared" si="37"/>
        <v/>
      </c>
      <c r="AB30" s="59" t="str">
        <f t="shared" si="37"/>
        <v/>
      </c>
      <c r="AC30" s="59" t="str">
        <f t="shared" si="37"/>
        <v/>
      </c>
      <c r="AD30" s="59" t="str">
        <f t="shared" si="37"/>
        <v/>
      </c>
      <c r="AE30" s="59" t="str">
        <f t="shared" si="19"/>
        <v/>
      </c>
      <c r="AF30" s="59" t="str">
        <f t="shared" si="19"/>
        <v/>
      </c>
      <c r="AG30" s="59" t="str">
        <f t="shared" si="19"/>
        <v/>
      </c>
      <c r="AH30" s="67" t="str">
        <f t="shared" si="19"/>
        <v/>
      </c>
      <c r="AI30" s="67" t="str">
        <f t="shared" si="24"/>
        <v/>
      </c>
      <c r="AJ30" s="67" t="str">
        <f t="shared" si="27"/>
        <v/>
      </c>
      <c r="AK30" s="67" t="str">
        <f t="shared" si="29"/>
        <v/>
      </c>
      <c r="AL30" s="67" t="str">
        <f t="shared" si="25"/>
        <v/>
      </c>
      <c r="AM30" s="67" t="str">
        <f t="shared" si="33"/>
        <v/>
      </c>
      <c r="AN30" s="67" t="str">
        <f t="shared" si="33"/>
        <v/>
      </c>
      <c r="AO30" s="67" t="str">
        <f t="shared" si="33"/>
        <v/>
      </c>
      <c r="AP30" s="67" t="str">
        <f t="shared" si="31"/>
        <v/>
      </c>
      <c r="AQ30" s="67" t="str">
        <f t="shared" si="21"/>
        <v/>
      </c>
      <c r="AR30" s="67" t="str">
        <f t="shared" si="35"/>
        <v/>
      </c>
      <c r="AS30" s="67" t="str">
        <f t="shared" si="35"/>
        <v/>
      </c>
      <c r="AT30" s="67" t="str">
        <f t="shared" si="34"/>
        <v/>
      </c>
      <c r="AU30" s="68" t="str">
        <f t="shared" si="34"/>
        <v/>
      </c>
      <c r="AV30" s="68" t="str">
        <f t="shared" si="34"/>
        <v/>
      </c>
      <c r="AW30" s="68" t="str">
        <f t="shared" si="26"/>
        <v/>
      </c>
      <c r="AX30" s="68" t="str">
        <f t="shared" si="26"/>
        <v/>
      </c>
      <c r="AY30" s="68" t="str">
        <f>IF(OR(AY$3/$S30=1,AY$3/$S30=2,AY$3/$S30=3,AY$3/$S30=4,AY$3/$S30=5,AY$3/$S30=6,AY$3/$S30=7,AY$3/$S30=8,AY$3/$S30=9,AY$3/$S30=10,AY$3/$S30=11,AY$3/$S30=12,AY$3/$S30=13,AY$3/$S30=14,AY$3/$S30=15,AY$3/$S30=16,AY$3/$S30=17,AY$3/$S30=18,AY$3/$S30=19,AY$3/$S30=20,AY$3/$S30=21,AY$3/$S30=22,AY$3/$S30=23,AY$3/$S30=24,AY$3/$S30=25,AY$3/$S30=26,AY$3/$S30=27,AY$3/$S30=28,AY$3/$S30=29,AY$3/$S30=30,AY$3/$S30=31,AY$3/$S30=32,AY$3/$S30=33),"X","")</f>
        <v/>
      </c>
      <c r="AZ30" s="68" t="str">
        <f>IF(OR(AZ$3/$S30=1,AZ$3/$S30=2,AZ$3/$S30=3,AZ$3/$S30=4,AZ$3/$S30=5,AZ$3/$S30=6,AZ$3/$S30=7,AZ$3/$S30=8,AZ$3/$S30=9,AZ$3/$S30=10,AZ$3/$S30=11,AZ$3/$S30=12,AZ$3/$S30=13,AZ$3/$S30=14,AZ$3/$S30=15,AZ$3/$S30=16,AZ$3/$S30=17,AZ$3/$S30=18,AZ$3/$S30=19,AZ$3/$S30=20,AZ$3/$S30=21,AZ$3/$S30=22,AZ$3/$S30=23,AZ$3/$S30=24,AZ$3/$S30=25,AZ$3/$S30=26,AZ$3/$S30=27,AZ$3/$S30=28,AZ$3/$S30=29,AZ$3/$S30=30,AZ$3/$S30=31,AZ$3/$S30=32,AZ$3/$S30=33),"X","")</f>
        <v/>
      </c>
      <c r="BA30" s="68" t="str">
        <f t="shared" si="36"/>
        <v>X</v>
      </c>
      <c r="CH30" s="60"/>
      <c r="CI30" s="60"/>
    </row>
    <row r="31" spans="1:724" s="46" customFormat="1" ht="21" customHeight="1">
      <c r="B31" s="77"/>
      <c r="D31" s="87"/>
      <c r="E31" s="13"/>
      <c r="F31" s="60"/>
      <c r="H31" s="60"/>
      <c r="I31" s="60"/>
      <c r="K31" s="51"/>
      <c r="O31" s="60"/>
      <c r="Q31" s="42"/>
      <c r="R31"/>
      <c r="S31" s="42"/>
      <c r="T31" s="42" t="s">
        <v>107</v>
      </c>
      <c r="U31" s="14">
        <f t="shared" ref="U31:BA31" si="38">SUMIFS($R$4:$R$30,U4:U30,"x")</f>
        <v>0</v>
      </c>
      <c r="V31" s="14">
        <f t="shared" si="38"/>
        <v>0</v>
      </c>
      <c r="W31" s="14">
        <f t="shared" si="38"/>
        <v>0</v>
      </c>
      <c r="X31" s="14">
        <f t="shared" si="38"/>
        <v>2400</v>
      </c>
      <c r="Y31" s="14">
        <f t="shared" si="38"/>
        <v>720</v>
      </c>
      <c r="Z31" s="14">
        <f t="shared" si="38"/>
        <v>3708</v>
      </c>
      <c r="AA31" s="14">
        <f t="shared" si="38"/>
        <v>0</v>
      </c>
      <c r="AB31" s="14">
        <f t="shared" si="38"/>
        <v>3360</v>
      </c>
      <c r="AC31" s="14">
        <f t="shared" si="38"/>
        <v>0</v>
      </c>
      <c r="AD31" s="14">
        <f t="shared" si="38"/>
        <v>2640</v>
      </c>
      <c r="AE31" s="14">
        <f t="shared" si="38"/>
        <v>2400</v>
      </c>
      <c r="AF31" s="14">
        <f t="shared" si="38"/>
        <v>3708</v>
      </c>
      <c r="AG31" s="14">
        <f t="shared" si="38"/>
        <v>0</v>
      </c>
      <c r="AH31" s="14">
        <f t="shared" si="38"/>
        <v>0</v>
      </c>
      <c r="AI31" s="14">
        <f t="shared" si="38"/>
        <v>1680</v>
      </c>
      <c r="AJ31" s="14">
        <f t="shared" si="38"/>
        <v>3840</v>
      </c>
      <c r="AK31" s="14">
        <f t="shared" si="38"/>
        <v>1356</v>
      </c>
      <c r="AL31" s="14">
        <f t="shared" si="38"/>
        <v>3708</v>
      </c>
      <c r="AM31" s="14">
        <f t="shared" si="38"/>
        <v>3408</v>
      </c>
      <c r="AN31" s="14">
        <f t="shared" si="38"/>
        <v>3294</v>
      </c>
      <c r="AO31" s="14">
        <f t="shared" si="38"/>
        <v>2208</v>
      </c>
      <c r="AP31" s="14">
        <f t="shared" si="38"/>
        <v>960</v>
      </c>
      <c r="AQ31" s="14">
        <f t="shared" si="38"/>
        <v>3708</v>
      </c>
      <c r="AR31" s="14">
        <f t="shared" si="38"/>
        <v>3648</v>
      </c>
      <c r="AS31" s="14">
        <f t="shared" si="38"/>
        <v>3024</v>
      </c>
      <c r="AT31" s="14">
        <f t="shared" si="38"/>
        <v>1872</v>
      </c>
      <c r="AU31" s="14">
        <f t="shared" si="38"/>
        <v>0</v>
      </c>
      <c r="AV31" s="14">
        <f t="shared" si="38"/>
        <v>3450</v>
      </c>
      <c r="AW31" s="14">
        <f t="shared" si="38"/>
        <v>3396</v>
      </c>
      <c r="AX31" s="14">
        <f t="shared" si="38"/>
        <v>2448</v>
      </c>
      <c r="AY31" s="14">
        <f t="shared" si="38"/>
        <v>3144</v>
      </c>
      <c r="AZ31" s="14">
        <f t="shared" si="38"/>
        <v>3600</v>
      </c>
      <c r="BA31" s="14">
        <f t="shared" si="38"/>
        <v>3546</v>
      </c>
      <c r="BB31" s="14"/>
      <c r="CH31" s="60"/>
      <c r="CI31" s="60"/>
    </row>
    <row r="32" spans="1:724" s="46" customFormat="1" ht="21" customHeight="1">
      <c r="B32" s="77"/>
      <c r="D32" s="87"/>
      <c r="E32" s="13"/>
      <c r="F32" s="60"/>
      <c r="H32" s="60"/>
      <c r="I32" s="60"/>
      <c r="K32" s="51"/>
      <c r="O32" s="60"/>
      <c r="Q32" s="42"/>
      <c r="R32"/>
      <c r="S32" s="42"/>
      <c r="T32" s="42" t="s">
        <v>10</v>
      </c>
      <c r="U32" s="14">
        <f t="shared" ref="U32:BA32" si="39">(COUNTIF(U4:U30,"X"))*180</f>
        <v>0</v>
      </c>
      <c r="V32" s="14">
        <f t="shared" si="39"/>
        <v>0</v>
      </c>
      <c r="W32" s="14">
        <f t="shared" si="39"/>
        <v>0</v>
      </c>
      <c r="X32" s="14">
        <f t="shared" si="39"/>
        <v>360</v>
      </c>
      <c r="Y32" s="14">
        <f t="shared" si="39"/>
        <v>180</v>
      </c>
      <c r="Z32" s="14">
        <f t="shared" si="39"/>
        <v>360</v>
      </c>
      <c r="AA32" s="14">
        <f t="shared" si="39"/>
        <v>0</v>
      </c>
      <c r="AB32" s="14">
        <f t="shared" si="39"/>
        <v>540</v>
      </c>
      <c r="AC32" s="14">
        <f t="shared" si="39"/>
        <v>0</v>
      </c>
      <c r="AD32" s="14">
        <f t="shared" si="39"/>
        <v>360</v>
      </c>
      <c r="AE32" s="14">
        <f t="shared" si="39"/>
        <v>360</v>
      </c>
      <c r="AF32" s="14">
        <f t="shared" si="39"/>
        <v>360</v>
      </c>
      <c r="AG32" s="14">
        <f t="shared" si="39"/>
        <v>0</v>
      </c>
      <c r="AH32" s="14">
        <f t="shared" si="39"/>
        <v>0</v>
      </c>
      <c r="AI32" s="14">
        <f t="shared" si="39"/>
        <v>360</v>
      </c>
      <c r="AJ32" s="14">
        <f t="shared" si="39"/>
        <v>540</v>
      </c>
      <c r="AK32" s="14">
        <f t="shared" si="39"/>
        <v>360</v>
      </c>
      <c r="AL32" s="14">
        <f t="shared" si="39"/>
        <v>360</v>
      </c>
      <c r="AM32" s="14">
        <f t="shared" si="39"/>
        <v>360</v>
      </c>
      <c r="AN32" s="14">
        <f t="shared" si="39"/>
        <v>720</v>
      </c>
      <c r="AO32" s="14">
        <f t="shared" si="39"/>
        <v>360</v>
      </c>
      <c r="AP32" s="14">
        <f t="shared" si="39"/>
        <v>180</v>
      </c>
      <c r="AQ32" s="14">
        <f t="shared" si="39"/>
        <v>360</v>
      </c>
      <c r="AR32" s="14">
        <f t="shared" si="39"/>
        <v>540</v>
      </c>
      <c r="AS32" s="14">
        <f t="shared" si="39"/>
        <v>540</v>
      </c>
      <c r="AT32" s="14">
        <f t="shared" si="39"/>
        <v>360</v>
      </c>
      <c r="AU32" s="14">
        <f t="shared" si="39"/>
        <v>0</v>
      </c>
      <c r="AV32" s="14">
        <f t="shared" si="39"/>
        <v>720</v>
      </c>
      <c r="AW32" s="14">
        <f t="shared" si="39"/>
        <v>540</v>
      </c>
      <c r="AX32" s="14">
        <f t="shared" si="39"/>
        <v>180</v>
      </c>
      <c r="AY32" s="14">
        <f t="shared" si="39"/>
        <v>720</v>
      </c>
      <c r="AZ32" s="14">
        <f t="shared" si="39"/>
        <v>720</v>
      </c>
      <c r="BA32" s="14">
        <f t="shared" si="39"/>
        <v>900</v>
      </c>
      <c r="BB32" s="14"/>
      <c r="CH32" s="60"/>
      <c r="CI32" s="60"/>
    </row>
    <row r="33" spans="1:87" s="46" customFormat="1" ht="21" customHeight="1">
      <c r="B33" s="77"/>
      <c r="D33" s="87"/>
      <c r="E33" s="13"/>
      <c r="F33" s="60"/>
      <c r="H33" s="60"/>
      <c r="I33" s="60"/>
      <c r="K33" s="51"/>
      <c r="O33" s="60"/>
      <c r="Q33" s="42"/>
      <c r="R33"/>
      <c r="S33" s="42"/>
      <c r="T33" s="42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CH33" s="60"/>
      <c r="CI33" s="60"/>
    </row>
    <row r="34" spans="1:87" s="46" customFormat="1" ht="21" customHeight="1">
      <c r="B34" s="77"/>
      <c r="D34" s="63"/>
      <c r="E34" s="13"/>
      <c r="F34" s="60"/>
      <c r="H34" s="60"/>
      <c r="I34" s="60"/>
      <c r="K34" s="51"/>
      <c r="O34" s="60"/>
      <c r="Q34" s="42"/>
      <c r="R34"/>
      <c r="S34" s="42"/>
      <c r="T34" s="42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CH34"/>
      <c r="CI34"/>
    </row>
    <row r="35" spans="1:87" s="60" customFormat="1" ht="21" customHeight="1">
      <c r="B35" s="77"/>
      <c r="D35" s="65"/>
      <c r="E35" s="13"/>
      <c r="F35" s="17"/>
      <c r="G35" s="17"/>
      <c r="H35" s="4"/>
      <c r="P35" s="2"/>
      <c r="Q35" s="2"/>
      <c r="R35"/>
      <c r="S35" s="2"/>
      <c r="T35" s="2"/>
      <c r="U35" s="170" t="s">
        <v>127</v>
      </c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1" t="s">
        <v>128</v>
      </c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2" t="s">
        <v>129</v>
      </c>
      <c r="AV35" s="172"/>
      <c r="AW35" s="172"/>
      <c r="AX35" s="172"/>
      <c r="AY35" s="172"/>
      <c r="AZ35" s="172"/>
      <c r="BA35" s="172"/>
      <c r="CH35"/>
      <c r="CI35"/>
    </row>
    <row r="36" spans="1:87" s="60" customFormat="1" ht="57.75" customHeight="1">
      <c r="A36" s="38" t="s">
        <v>12</v>
      </c>
      <c r="B36" s="85" t="s">
        <v>0</v>
      </c>
      <c r="C36" s="79" t="s">
        <v>1</v>
      </c>
      <c r="D36" s="39" t="s">
        <v>2</v>
      </c>
      <c r="E36" s="39" t="s">
        <v>108</v>
      </c>
      <c r="F36" s="40" t="s">
        <v>8</v>
      </c>
      <c r="G36" s="40" t="s">
        <v>9</v>
      </c>
      <c r="H36" s="40" t="s">
        <v>7</v>
      </c>
      <c r="I36" s="36" t="s">
        <v>105</v>
      </c>
      <c r="J36" s="38" t="s">
        <v>10</v>
      </c>
      <c r="K36" s="10" t="s">
        <v>11</v>
      </c>
      <c r="L36" s="38" t="s">
        <v>5</v>
      </c>
      <c r="M36" s="39" t="s">
        <v>101</v>
      </c>
      <c r="N36" s="39" t="s">
        <v>102</v>
      </c>
      <c r="O36" s="39" t="s">
        <v>103</v>
      </c>
      <c r="P36" s="37" t="s">
        <v>104</v>
      </c>
      <c r="Q36" s="37" t="s">
        <v>106</v>
      </c>
      <c r="R36" s="37" t="s">
        <v>201</v>
      </c>
      <c r="S36" s="39" t="s">
        <v>177</v>
      </c>
      <c r="T36" s="39" t="s">
        <v>173</v>
      </c>
      <c r="U36" s="53">
        <v>1</v>
      </c>
      <c r="V36" s="53">
        <v>2</v>
      </c>
      <c r="W36" s="53">
        <v>3</v>
      </c>
      <c r="X36" s="53">
        <v>4</v>
      </c>
      <c r="Y36" s="53">
        <v>5</v>
      </c>
      <c r="Z36" s="53">
        <v>6</v>
      </c>
      <c r="AA36" s="53">
        <v>7</v>
      </c>
      <c r="AB36" s="53">
        <v>8</v>
      </c>
      <c r="AC36" s="53">
        <v>9</v>
      </c>
      <c r="AD36" s="53">
        <v>10</v>
      </c>
      <c r="AE36" s="53">
        <v>11</v>
      </c>
      <c r="AF36" s="53">
        <v>12</v>
      </c>
      <c r="AG36" s="53">
        <v>13</v>
      </c>
      <c r="AH36" s="54">
        <v>14</v>
      </c>
      <c r="AI36" s="54">
        <v>15</v>
      </c>
      <c r="AJ36" s="54">
        <v>16</v>
      </c>
      <c r="AK36" s="54">
        <v>17</v>
      </c>
      <c r="AL36" s="54">
        <v>18</v>
      </c>
      <c r="AM36" s="54">
        <v>19</v>
      </c>
      <c r="AN36" s="54">
        <v>20</v>
      </c>
      <c r="AO36" s="54">
        <v>21</v>
      </c>
      <c r="AP36" s="54">
        <v>22</v>
      </c>
      <c r="AQ36" s="54">
        <v>23</v>
      </c>
      <c r="AR36" s="54">
        <v>24</v>
      </c>
      <c r="AS36" s="54">
        <v>25</v>
      </c>
      <c r="AT36" s="54">
        <v>26</v>
      </c>
      <c r="AU36" s="55">
        <v>27</v>
      </c>
      <c r="AV36" s="55">
        <v>28</v>
      </c>
      <c r="AW36" s="55">
        <v>29</v>
      </c>
      <c r="AX36" s="55">
        <v>30</v>
      </c>
      <c r="AY36" s="55">
        <v>31</v>
      </c>
      <c r="AZ36" s="55">
        <v>32</v>
      </c>
      <c r="BA36" s="55">
        <v>33</v>
      </c>
      <c r="CH36"/>
      <c r="CI36"/>
    </row>
    <row r="37" spans="1:87" s="46" customFormat="1" ht="21" customHeight="1">
      <c r="A37" s="44">
        <v>2</v>
      </c>
      <c r="B37" s="58">
        <v>5303041</v>
      </c>
      <c r="C37" s="27" t="s">
        <v>53</v>
      </c>
      <c r="D37" s="86" t="s">
        <v>52</v>
      </c>
      <c r="E37" s="64">
        <v>11</v>
      </c>
      <c r="F37" s="30">
        <f>VLOOKUP(B37,'Estampados por manguera'!A$2:B$500,2,FALSE)</f>
        <v>1</v>
      </c>
      <c r="G37" s="30">
        <f t="shared" ref="G37:G73" si="40">F37*E37</f>
        <v>11</v>
      </c>
      <c r="H37" s="52">
        <v>6</v>
      </c>
      <c r="I37" s="32">
        <f t="shared" ref="I37:I73" si="41">H37*G37</f>
        <v>66</v>
      </c>
      <c r="J37" s="32">
        <f t="shared" ref="J37:J73" si="42">IF(G37&lt;1,0,180)</f>
        <v>180</v>
      </c>
      <c r="K37" s="30">
        <f t="shared" ref="K37:K73" si="43">I37+J37</f>
        <v>246</v>
      </c>
      <c r="L37" s="32">
        <v>1200</v>
      </c>
      <c r="M37" s="30">
        <f>VLOOKUP(B37,'Mangueras por contenedor'!A$2:B$500,2,FALSE)</f>
        <v>60</v>
      </c>
      <c r="N37" s="45">
        <f t="shared" ref="N37:N73" si="44">E37/M37</f>
        <v>0.18333333333333332</v>
      </c>
      <c r="O37" s="11">
        <v>2</v>
      </c>
      <c r="P37" s="32">
        <f t="shared" ref="P37:P73" si="45">F37*H37*M37</f>
        <v>360</v>
      </c>
      <c r="Q37" s="32">
        <f t="shared" ref="Q37:Q61" si="46">IF(M37&gt;=100,1,IF((M37*2)&gt;=100,2,IF((M37*3)&gt;=100,3,IF((M37*4)&gt;=100,4,5))))</f>
        <v>2</v>
      </c>
      <c r="R37" s="32">
        <f t="shared" ref="R37:R73" si="47">P37*Q37</f>
        <v>720</v>
      </c>
      <c r="S37" s="32">
        <f t="shared" ref="S37:S73" si="48">IF((O37*Q37)&lt;33,(O37*Q37),33)</f>
        <v>4</v>
      </c>
      <c r="T37" s="32">
        <f t="shared" ref="T37:T73" si="49">M37*Q37</f>
        <v>120</v>
      </c>
      <c r="U37" s="59" t="str">
        <f t="shared" ref="U37:AD46" si="50">IF(OR(U$36/$S37=1,U$36/$S37=2,U$36/$S37=3,U$36/$S37=4,U$36/$S37=5,U$36/$S37=6,U$36/$S37=7,U$36/$S37=8,U$36/$S37=9,U$36/$S37=10,U$36/$S37=11,U$36/$S37=12,U$36/$S37=13,U$36/$S37=14,U$36/$S37=15,U$36/$S37=16,U$36/$S37=17,U$36/$S37=18,U$36/$S37=19,U$36/$S37=20,U$36/$S37=21,U$36/$S37=22,U$36/$S37=23,U$36/$S37=24,U$36/$S37=25,U$36/$S37=26,U$36/$S37=27,U$36/$S37=28,U$36/$S37=29,U$36/$S37=30,U$36/$S37=31,U$36/$S37=32,U$36/$S37=33),"X","")</f>
        <v/>
      </c>
      <c r="V37" s="59" t="str">
        <f t="shared" si="50"/>
        <v/>
      </c>
      <c r="W37" s="59" t="str">
        <f t="shared" si="50"/>
        <v/>
      </c>
      <c r="X37" s="59" t="str">
        <f t="shared" si="50"/>
        <v>X</v>
      </c>
      <c r="Y37" s="59" t="str">
        <f t="shared" si="50"/>
        <v/>
      </c>
      <c r="Z37" s="59" t="str">
        <f t="shared" si="50"/>
        <v/>
      </c>
      <c r="AA37" s="59" t="str">
        <f t="shared" si="50"/>
        <v/>
      </c>
      <c r="AB37" s="59" t="str">
        <f t="shared" si="50"/>
        <v>X</v>
      </c>
      <c r="AC37" s="59" t="str">
        <f t="shared" si="50"/>
        <v/>
      </c>
      <c r="AD37" s="59" t="str">
        <f t="shared" si="50"/>
        <v/>
      </c>
      <c r="AE37" s="59" t="str">
        <f t="shared" ref="AE37:AN46" si="51">IF(OR(AE$36/$S37=1,AE$36/$S37=2,AE$36/$S37=3,AE$36/$S37=4,AE$36/$S37=5,AE$36/$S37=6,AE$36/$S37=7,AE$36/$S37=8,AE$36/$S37=9,AE$36/$S37=10,AE$36/$S37=11,AE$36/$S37=12,AE$36/$S37=13,AE$36/$S37=14,AE$36/$S37=15,AE$36/$S37=16,AE$36/$S37=17,AE$36/$S37=18,AE$36/$S37=19,AE$36/$S37=20,AE$36/$S37=21,AE$36/$S37=22,AE$36/$S37=23,AE$36/$S37=24,AE$36/$S37=25,AE$36/$S37=26,AE$36/$S37=27,AE$36/$S37=28,AE$36/$S37=29,AE$36/$S37=30,AE$36/$S37=31,AE$36/$S37=32,AE$36/$S37=33),"X","")</f>
        <v/>
      </c>
      <c r="AF37" s="59" t="str">
        <f t="shared" si="51"/>
        <v>X</v>
      </c>
      <c r="AG37" s="59" t="str">
        <f t="shared" si="51"/>
        <v/>
      </c>
      <c r="AH37" s="67" t="str">
        <f t="shared" si="51"/>
        <v/>
      </c>
      <c r="AI37" s="67" t="str">
        <f t="shared" si="51"/>
        <v/>
      </c>
      <c r="AJ37" s="67" t="str">
        <f t="shared" si="51"/>
        <v>X</v>
      </c>
      <c r="AK37" s="67" t="str">
        <f t="shared" si="51"/>
        <v/>
      </c>
      <c r="AL37" s="67" t="str">
        <f t="shared" si="51"/>
        <v/>
      </c>
      <c r="AM37" s="67" t="str">
        <f t="shared" si="51"/>
        <v/>
      </c>
      <c r="AN37" s="67" t="str">
        <f t="shared" si="51"/>
        <v>X</v>
      </c>
      <c r="AO37" s="67" t="str">
        <f t="shared" ref="AO37:BA46" si="52">IF(OR(AO$36/$S37=1,AO$36/$S37=2,AO$36/$S37=3,AO$36/$S37=4,AO$36/$S37=5,AO$36/$S37=6,AO$36/$S37=7,AO$36/$S37=8,AO$36/$S37=9,AO$36/$S37=10,AO$36/$S37=11,AO$36/$S37=12,AO$36/$S37=13,AO$36/$S37=14,AO$36/$S37=15,AO$36/$S37=16,AO$36/$S37=17,AO$36/$S37=18,AO$36/$S37=19,AO$36/$S37=20,AO$36/$S37=21,AO$36/$S37=22,AO$36/$S37=23,AO$36/$S37=24,AO$36/$S37=25,AO$36/$S37=26,AO$36/$S37=27,AO$36/$S37=28,AO$36/$S37=29,AO$36/$S37=30,AO$36/$S37=31,AO$36/$S37=32,AO$36/$S37=33),"X","")</f>
        <v/>
      </c>
      <c r="AP37" s="67" t="str">
        <f t="shared" si="52"/>
        <v/>
      </c>
      <c r="AQ37" s="67" t="str">
        <f t="shared" si="52"/>
        <v/>
      </c>
      <c r="AR37" s="67" t="str">
        <f t="shared" si="52"/>
        <v>X</v>
      </c>
      <c r="AS37" s="67" t="str">
        <f t="shared" si="52"/>
        <v/>
      </c>
      <c r="AT37" s="67" t="str">
        <f t="shared" si="52"/>
        <v/>
      </c>
      <c r="AU37" s="68" t="str">
        <f t="shared" si="52"/>
        <v/>
      </c>
      <c r="AV37" s="68" t="str">
        <f t="shared" si="52"/>
        <v>X</v>
      </c>
      <c r="AW37" s="68" t="str">
        <f t="shared" si="52"/>
        <v/>
      </c>
      <c r="AX37" s="68" t="str">
        <f t="shared" si="52"/>
        <v/>
      </c>
      <c r="AY37" s="68" t="str">
        <f t="shared" si="52"/>
        <v/>
      </c>
      <c r="AZ37" s="68" t="str">
        <f t="shared" si="52"/>
        <v>X</v>
      </c>
      <c r="BA37" s="68" t="str">
        <f t="shared" si="52"/>
        <v/>
      </c>
      <c r="CH37"/>
      <c r="CI37"/>
    </row>
    <row r="38" spans="1:87" s="46" customFormat="1" ht="21" customHeight="1">
      <c r="A38" s="44">
        <v>2</v>
      </c>
      <c r="B38" s="58">
        <v>3378884</v>
      </c>
      <c r="C38" s="27" t="s">
        <v>174</v>
      </c>
      <c r="D38" s="78" t="s">
        <v>51</v>
      </c>
      <c r="E38" s="64">
        <v>41</v>
      </c>
      <c r="F38" s="30">
        <f>VLOOKUP(B38,'Estampados por manguera'!A$2:B$500,2,FALSE)</f>
        <v>3</v>
      </c>
      <c r="G38" s="30">
        <f t="shared" si="40"/>
        <v>123</v>
      </c>
      <c r="H38" s="52">
        <v>6</v>
      </c>
      <c r="I38" s="30">
        <f t="shared" si="41"/>
        <v>738</v>
      </c>
      <c r="J38" s="32">
        <f t="shared" si="42"/>
        <v>180</v>
      </c>
      <c r="K38" s="30">
        <f t="shared" si="43"/>
        <v>918</v>
      </c>
      <c r="L38" s="32">
        <v>1206</v>
      </c>
      <c r="M38" s="30">
        <f>VLOOKUP(B38,'Mangueras por contenedor'!A$2:B$500,2,FALSE)</f>
        <v>65</v>
      </c>
      <c r="N38" s="45">
        <f t="shared" si="44"/>
        <v>0.63076923076923075</v>
      </c>
      <c r="O38" s="11">
        <f t="shared" ref="O38:O73" si="53">IF(N38&gt;=0.8,1,IF((N38*2)&gt;=0.8,2,IF((N38*3)&gt;=0.8,3,IF((N38*4)&gt;=0.8,4,IF((N38*5)&gt;=0.8,5,IF((N38*6)&gt;=0.8,6,IF((N38*7)&gt;=0.8,7,IF((N38*8)&gt;=0.8,8,IF((N38*9)&gt;=0.8,9,IF((N38*10)&gt;=0.8,10,IF((N38*11)&gt;=0.8,11,IF((N38*12)&gt;=0.8,12,IF((N38*13)&gt;=0.8,13,IF((N38*14)&gt;=0.8,14,(IF((N38*15)&gt;=0.8,15,IF((N38*16)&gt;=0.8,16,IF((N38*17)&gt;=0.8,17,IF((N38*18)&gt;=0.8,18,IF((N38*19)&gt;=0.8,19,IF((N38*20)&gt;=0.8,20,IF((N38*21)&gt;=0.8,21,IF((N38*22)&gt;=0.8,22,IF((N38*23)&gt;=0.8,23,IF((N38*24)&gt;=0.8,24,IF((N38*25)&gt;=0.8,25,IF((N38*26)&gt;=0.8,26,IF((N38*27)&gt;=0.8,27,IF((N38*28)&gt;=0.8,28,IF((N38*29)&gt;=0.8,29,IF((N38*30)&gt;=0.8,30,IF((N38*31)&gt;=0.8,31,IF((N38*32)&gt;=0.8,32,IF((N38*33)&gt;=0.8,33,33))))))))))))))))))))))))))))))))))</f>
        <v>2</v>
      </c>
      <c r="P38" s="32">
        <f t="shared" si="45"/>
        <v>1170</v>
      </c>
      <c r="Q38" s="32">
        <f t="shared" si="46"/>
        <v>2</v>
      </c>
      <c r="R38" s="32">
        <f t="shared" si="47"/>
        <v>2340</v>
      </c>
      <c r="S38" s="32">
        <f t="shared" si="48"/>
        <v>4</v>
      </c>
      <c r="T38" s="32">
        <f t="shared" si="49"/>
        <v>130</v>
      </c>
      <c r="U38" s="59" t="str">
        <f t="shared" si="50"/>
        <v/>
      </c>
      <c r="V38" s="59" t="str">
        <f t="shared" si="50"/>
        <v/>
      </c>
      <c r="W38" s="59" t="str">
        <f t="shared" si="50"/>
        <v/>
      </c>
      <c r="X38" s="59" t="str">
        <f t="shared" si="50"/>
        <v>X</v>
      </c>
      <c r="Y38" s="59" t="str">
        <f t="shared" si="50"/>
        <v/>
      </c>
      <c r="Z38" s="59" t="str">
        <f t="shared" si="50"/>
        <v/>
      </c>
      <c r="AA38" s="59" t="str">
        <f t="shared" si="50"/>
        <v/>
      </c>
      <c r="AB38" s="59" t="str">
        <f t="shared" si="50"/>
        <v>X</v>
      </c>
      <c r="AC38" s="59" t="str">
        <f t="shared" si="50"/>
        <v/>
      </c>
      <c r="AD38" s="59" t="str">
        <f t="shared" si="50"/>
        <v/>
      </c>
      <c r="AE38" s="59" t="str">
        <f t="shared" si="51"/>
        <v/>
      </c>
      <c r="AF38" s="59" t="str">
        <f t="shared" si="51"/>
        <v>X</v>
      </c>
      <c r="AG38" s="59" t="str">
        <f t="shared" si="51"/>
        <v/>
      </c>
      <c r="AH38" s="67" t="str">
        <f t="shared" si="51"/>
        <v/>
      </c>
      <c r="AI38" s="67" t="str">
        <f t="shared" si="51"/>
        <v/>
      </c>
      <c r="AJ38" s="67" t="str">
        <f t="shared" si="51"/>
        <v>X</v>
      </c>
      <c r="AK38" s="67" t="str">
        <f t="shared" si="51"/>
        <v/>
      </c>
      <c r="AL38" s="67" t="str">
        <f t="shared" si="51"/>
        <v/>
      </c>
      <c r="AM38" s="67" t="str">
        <f t="shared" si="51"/>
        <v/>
      </c>
      <c r="AN38" s="67" t="str">
        <f t="shared" si="51"/>
        <v>X</v>
      </c>
      <c r="AO38" s="67" t="str">
        <f t="shared" si="52"/>
        <v/>
      </c>
      <c r="AP38" s="67" t="str">
        <f t="shared" si="52"/>
        <v/>
      </c>
      <c r="AQ38" s="67" t="str">
        <f t="shared" si="52"/>
        <v/>
      </c>
      <c r="AR38" s="67" t="str">
        <f t="shared" si="52"/>
        <v>X</v>
      </c>
      <c r="AS38" s="67" t="str">
        <f t="shared" si="52"/>
        <v/>
      </c>
      <c r="AT38" s="67" t="str">
        <f t="shared" si="52"/>
        <v/>
      </c>
      <c r="AU38" s="68" t="str">
        <f t="shared" si="52"/>
        <v/>
      </c>
      <c r="AV38" s="68" t="str">
        <f t="shared" si="52"/>
        <v>X</v>
      </c>
      <c r="AW38" s="68" t="str">
        <f t="shared" si="52"/>
        <v/>
      </c>
      <c r="AX38" s="68" t="str">
        <f t="shared" si="52"/>
        <v/>
      </c>
      <c r="AY38" s="68" t="str">
        <f t="shared" si="52"/>
        <v/>
      </c>
      <c r="AZ38" s="68" t="str">
        <f t="shared" si="52"/>
        <v>X</v>
      </c>
      <c r="BA38" s="68" t="str">
        <f t="shared" si="52"/>
        <v/>
      </c>
      <c r="CH38"/>
      <c r="CI38"/>
    </row>
    <row r="39" spans="1:87" s="46" customFormat="1" ht="21" customHeight="1">
      <c r="A39" s="44">
        <v>2</v>
      </c>
      <c r="B39" s="58">
        <v>5303035</v>
      </c>
      <c r="C39" s="27" t="s">
        <v>61</v>
      </c>
      <c r="D39" s="78" t="s">
        <v>52</v>
      </c>
      <c r="E39" s="64">
        <v>15</v>
      </c>
      <c r="F39" s="30">
        <f>VLOOKUP(B39,'Estampados por manguera'!A$2:B$500,2,FALSE)</f>
        <v>2</v>
      </c>
      <c r="G39" s="30">
        <f t="shared" si="40"/>
        <v>30</v>
      </c>
      <c r="H39" s="82">
        <v>6</v>
      </c>
      <c r="I39" s="30">
        <f t="shared" si="41"/>
        <v>180</v>
      </c>
      <c r="J39" s="32">
        <f t="shared" si="42"/>
        <v>180</v>
      </c>
      <c r="K39" s="30">
        <f t="shared" si="43"/>
        <v>360</v>
      </c>
      <c r="L39" s="32">
        <v>1200</v>
      </c>
      <c r="M39" s="30">
        <f>VLOOKUP(B39,'Mangueras por contenedor'!A$2:B$500,2,FALSE)</f>
        <v>35</v>
      </c>
      <c r="N39" s="45">
        <f t="shared" si="44"/>
        <v>0.42857142857142855</v>
      </c>
      <c r="O39" s="11">
        <f t="shared" si="53"/>
        <v>2</v>
      </c>
      <c r="P39" s="32">
        <f t="shared" si="45"/>
        <v>420</v>
      </c>
      <c r="Q39" s="32">
        <f t="shared" si="46"/>
        <v>3</v>
      </c>
      <c r="R39" s="32">
        <f t="shared" si="47"/>
        <v>1260</v>
      </c>
      <c r="S39" s="32">
        <f t="shared" si="48"/>
        <v>6</v>
      </c>
      <c r="T39" s="32">
        <f t="shared" si="49"/>
        <v>105</v>
      </c>
      <c r="U39" s="59" t="str">
        <f t="shared" si="50"/>
        <v/>
      </c>
      <c r="V39" s="59" t="str">
        <f t="shared" si="50"/>
        <v/>
      </c>
      <c r="W39" s="59" t="str">
        <f t="shared" si="50"/>
        <v/>
      </c>
      <c r="X39" s="59" t="str">
        <f t="shared" si="50"/>
        <v/>
      </c>
      <c r="Y39" s="59" t="str">
        <f t="shared" si="50"/>
        <v/>
      </c>
      <c r="Z39" s="59" t="str">
        <f t="shared" si="50"/>
        <v>X</v>
      </c>
      <c r="AA39" s="59" t="str">
        <f t="shared" si="50"/>
        <v/>
      </c>
      <c r="AB39" s="59" t="str">
        <f t="shared" si="50"/>
        <v/>
      </c>
      <c r="AC39" s="59" t="str">
        <f t="shared" si="50"/>
        <v/>
      </c>
      <c r="AD39" s="59" t="str">
        <f t="shared" si="50"/>
        <v/>
      </c>
      <c r="AE39" s="59" t="str">
        <f t="shared" si="51"/>
        <v/>
      </c>
      <c r="AF39" s="59" t="str">
        <f t="shared" si="51"/>
        <v>X</v>
      </c>
      <c r="AG39" s="59" t="str">
        <f t="shared" si="51"/>
        <v/>
      </c>
      <c r="AH39" s="67" t="str">
        <f t="shared" si="51"/>
        <v/>
      </c>
      <c r="AI39" s="67" t="str">
        <f t="shared" si="51"/>
        <v/>
      </c>
      <c r="AJ39" s="67" t="str">
        <f t="shared" si="51"/>
        <v/>
      </c>
      <c r="AK39" s="67" t="str">
        <f t="shared" si="51"/>
        <v/>
      </c>
      <c r="AL39" s="67" t="str">
        <f t="shared" si="51"/>
        <v>X</v>
      </c>
      <c r="AM39" s="67" t="str">
        <f t="shared" si="51"/>
        <v/>
      </c>
      <c r="AN39" s="67" t="str">
        <f t="shared" si="51"/>
        <v/>
      </c>
      <c r="AO39" s="67" t="str">
        <f t="shared" si="52"/>
        <v/>
      </c>
      <c r="AP39" s="67" t="str">
        <f t="shared" si="52"/>
        <v/>
      </c>
      <c r="AQ39" s="67" t="str">
        <f t="shared" si="52"/>
        <v/>
      </c>
      <c r="AR39" s="67" t="str">
        <f t="shared" si="52"/>
        <v>X</v>
      </c>
      <c r="AS39" s="67" t="str">
        <f t="shared" si="52"/>
        <v/>
      </c>
      <c r="AT39" s="67" t="str">
        <f t="shared" si="52"/>
        <v/>
      </c>
      <c r="AU39" s="68" t="str">
        <f t="shared" si="52"/>
        <v/>
      </c>
      <c r="AV39" s="68" t="str">
        <f t="shared" si="52"/>
        <v/>
      </c>
      <c r="AW39" s="68" t="str">
        <f t="shared" si="52"/>
        <v/>
      </c>
      <c r="AX39" s="68" t="str">
        <f t="shared" si="52"/>
        <v>X</v>
      </c>
      <c r="AY39" s="68" t="str">
        <f t="shared" si="52"/>
        <v/>
      </c>
      <c r="AZ39" s="68" t="str">
        <f t="shared" si="52"/>
        <v/>
      </c>
      <c r="BA39" s="68" t="str">
        <f t="shared" si="52"/>
        <v/>
      </c>
      <c r="CH39"/>
      <c r="CI39"/>
    </row>
    <row r="40" spans="1:87" s="46" customFormat="1" ht="21" customHeight="1">
      <c r="A40" s="44">
        <v>2</v>
      </c>
      <c r="B40" s="58">
        <v>5203831</v>
      </c>
      <c r="C40" s="27">
        <v>2722502000</v>
      </c>
      <c r="D40" s="78" t="s">
        <v>188</v>
      </c>
      <c r="E40" s="64">
        <v>19</v>
      </c>
      <c r="F40" s="30">
        <f>VLOOKUP(B40,'Estampados por manguera'!A$2:B$500,2,FALSE)</f>
        <v>1</v>
      </c>
      <c r="G40" s="30">
        <f t="shared" si="40"/>
        <v>19</v>
      </c>
      <c r="H40" s="82">
        <v>6</v>
      </c>
      <c r="I40" s="30">
        <f t="shared" si="41"/>
        <v>114</v>
      </c>
      <c r="J40" s="32">
        <f t="shared" si="42"/>
        <v>180</v>
      </c>
      <c r="K40" s="30">
        <f t="shared" si="43"/>
        <v>294</v>
      </c>
      <c r="L40" s="32">
        <v>1225</v>
      </c>
      <c r="M40" s="30">
        <f>VLOOKUP(B40,'Mangueras por contenedor'!A$2:B$500,2,FALSE)</f>
        <v>135</v>
      </c>
      <c r="N40" s="45">
        <f t="shared" si="44"/>
        <v>0.14074074074074075</v>
      </c>
      <c r="O40" s="11">
        <f t="shared" si="53"/>
        <v>6</v>
      </c>
      <c r="P40" s="32">
        <f t="shared" si="45"/>
        <v>810</v>
      </c>
      <c r="Q40" s="32">
        <f t="shared" si="46"/>
        <v>1</v>
      </c>
      <c r="R40" s="32">
        <f t="shared" si="47"/>
        <v>810</v>
      </c>
      <c r="S40" s="32">
        <f t="shared" si="48"/>
        <v>6</v>
      </c>
      <c r="T40" s="32">
        <f t="shared" si="49"/>
        <v>135</v>
      </c>
      <c r="U40" s="59" t="str">
        <f t="shared" si="50"/>
        <v/>
      </c>
      <c r="V40" s="59" t="str">
        <f t="shared" si="50"/>
        <v/>
      </c>
      <c r="W40" s="59" t="str">
        <f t="shared" si="50"/>
        <v/>
      </c>
      <c r="X40" s="59" t="str">
        <f t="shared" si="50"/>
        <v/>
      </c>
      <c r="Y40" s="59" t="str">
        <f t="shared" si="50"/>
        <v/>
      </c>
      <c r="Z40" s="59" t="str">
        <f t="shared" si="50"/>
        <v>X</v>
      </c>
      <c r="AA40" s="59" t="str">
        <f t="shared" si="50"/>
        <v/>
      </c>
      <c r="AB40" s="59" t="str">
        <f t="shared" si="50"/>
        <v/>
      </c>
      <c r="AC40" s="59" t="str">
        <f t="shared" si="50"/>
        <v/>
      </c>
      <c r="AD40" s="59" t="str">
        <f t="shared" si="50"/>
        <v/>
      </c>
      <c r="AE40" s="59" t="str">
        <f t="shared" si="51"/>
        <v/>
      </c>
      <c r="AF40" s="59" t="str">
        <f t="shared" si="51"/>
        <v>X</v>
      </c>
      <c r="AG40" s="59" t="str">
        <f t="shared" si="51"/>
        <v/>
      </c>
      <c r="AH40" s="67" t="str">
        <f t="shared" si="51"/>
        <v/>
      </c>
      <c r="AI40" s="67" t="str">
        <f t="shared" si="51"/>
        <v/>
      </c>
      <c r="AJ40" s="67" t="str">
        <f t="shared" si="51"/>
        <v/>
      </c>
      <c r="AK40" s="67" t="str">
        <f t="shared" si="51"/>
        <v/>
      </c>
      <c r="AL40" s="67" t="str">
        <f t="shared" si="51"/>
        <v>X</v>
      </c>
      <c r="AM40" s="67" t="str">
        <f t="shared" si="51"/>
        <v/>
      </c>
      <c r="AN40" s="67" t="str">
        <f t="shared" si="51"/>
        <v/>
      </c>
      <c r="AO40" s="67" t="str">
        <f t="shared" si="52"/>
        <v/>
      </c>
      <c r="AP40" s="67" t="str">
        <f t="shared" si="52"/>
        <v/>
      </c>
      <c r="AQ40" s="67" t="str">
        <f t="shared" si="52"/>
        <v/>
      </c>
      <c r="AR40" s="67" t="str">
        <f t="shared" si="52"/>
        <v>X</v>
      </c>
      <c r="AS40" s="67" t="str">
        <f t="shared" si="52"/>
        <v/>
      </c>
      <c r="AT40" s="67" t="str">
        <f t="shared" si="52"/>
        <v/>
      </c>
      <c r="AU40" s="68" t="str">
        <f t="shared" si="52"/>
        <v/>
      </c>
      <c r="AV40" s="68" t="str">
        <f t="shared" si="52"/>
        <v/>
      </c>
      <c r="AW40" s="68" t="str">
        <f t="shared" si="52"/>
        <v/>
      </c>
      <c r="AX40" s="68" t="str">
        <f t="shared" si="52"/>
        <v>X</v>
      </c>
      <c r="AY40" s="68" t="str">
        <f t="shared" si="52"/>
        <v/>
      </c>
      <c r="AZ40" s="68" t="str">
        <f t="shared" si="52"/>
        <v/>
      </c>
      <c r="BA40" s="68" t="str">
        <f t="shared" si="52"/>
        <v/>
      </c>
      <c r="CH40"/>
      <c r="CI40"/>
    </row>
    <row r="41" spans="1:87" s="46" customFormat="1" ht="21" customHeight="1">
      <c r="A41" s="44">
        <v>2</v>
      </c>
      <c r="B41" s="58">
        <v>5303107</v>
      </c>
      <c r="C41" s="27" t="s">
        <v>55</v>
      </c>
      <c r="D41" s="78" t="s">
        <v>52</v>
      </c>
      <c r="E41" s="64">
        <v>12</v>
      </c>
      <c r="F41" s="30">
        <f>VLOOKUP(B41,'Estampados por manguera'!A$2:B$500,2,FALSE)</f>
        <v>2</v>
      </c>
      <c r="G41" s="30">
        <f t="shared" si="40"/>
        <v>24</v>
      </c>
      <c r="H41" s="82">
        <v>6</v>
      </c>
      <c r="I41" s="30">
        <f t="shared" si="41"/>
        <v>144</v>
      </c>
      <c r="J41" s="32">
        <f t="shared" si="42"/>
        <v>180</v>
      </c>
      <c r="K41" s="30">
        <f t="shared" si="43"/>
        <v>324</v>
      </c>
      <c r="L41" s="32">
        <v>1200</v>
      </c>
      <c r="M41" s="30">
        <f>VLOOKUP(B41,'Mangueras por contenedor'!A$2:B$500,2,FALSE)</f>
        <v>30</v>
      </c>
      <c r="N41" s="45">
        <f t="shared" si="44"/>
        <v>0.4</v>
      </c>
      <c r="O41" s="11">
        <f t="shared" si="53"/>
        <v>2</v>
      </c>
      <c r="P41" s="32">
        <f t="shared" si="45"/>
        <v>360</v>
      </c>
      <c r="Q41" s="32">
        <f t="shared" si="46"/>
        <v>4</v>
      </c>
      <c r="R41" s="32">
        <f t="shared" si="47"/>
        <v>1440</v>
      </c>
      <c r="S41" s="32">
        <f t="shared" si="48"/>
        <v>8</v>
      </c>
      <c r="T41" s="32">
        <f t="shared" si="49"/>
        <v>120</v>
      </c>
      <c r="U41" s="59" t="str">
        <f t="shared" si="50"/>
        <v/>
      </c>
      <c r="V41" s="59" t="str">
        <f t="shared" si="50"/>
        <v/>
      </c>
      <c r="W41" s="59" t="str">
        <f t="shared" si="50"/>
        <v/>
      </c>
      <c r="X41" s="59" t="str">
        <f t="shared" si="50"/>
        <v/>
      </c>
      <c r="Y41" s="59" t="str">
        <f t="shared" si="50"/>
        <v/>
      </c>
      <c r="Z41" s="59" t="str">
        <f t="shared" si="50"/>
        <v/>
      </c>
      <c r="AA41" s="59" t="str">
        <f t="shared" si="50"/>
        <v/>
      </c>
      <c r="AB41" s="59" t="str">
        <f t="shared" si="50"/>
        <v>X</v>
      </c>
      <c r="AC41" s="59" t="str">
        <f t="shared" si="50"/>
        <v/>
      </c>
      <c r="AD41" s="59" t="str">
        <f t="shared" si="50"/>
        <v/>
      </c>
      <c r="AE41" s="59" t="str">
        <f t="shared" si="51"/>
        <v/>
      </c>
      <c r="AF41" s="59" t="str">
        <f t="shared" si="51"/>
        <v/>
      </c>
      <c r="AG41" s="59" t="str">
        <f t="shared" si="51"/>
        <v/>
      </c>
      <c r="AH41" s="67" t="str">
        <f t="shared" si="51"/>
        <v/>
      </c>
      <c r="AI41" s="67" t="str">
        <f t="shared" si="51"/>
        <v/>
      </c>
      <c r="AJ41" s="67" t="str">
        <f t="shared" si="51"/>
        <v>X</v>
      </c>
      <c r="AK41" s="67" t="str">
        <f t="shared" si="51"/>
        <v/>
      </c>
      <c r="AL41" s="67" t="str">
        <f t="shared" si="51"/>
        <v/>
      </c>
      <c r="AM41" s="67" t="str">
        <f t="shared" si="51"/>
        <v/>
      </c>
      <c r="AN41" s="67" t="str">
        <f t="shared" si="51"/>
        <v/>
      </c>
      <c r="AO41" s="67" t="str">
        <f t="shared" si="52"/>
        <v/>
      </c>
      <c r="AP41" s="67" t="str">
        <f t="shared" si="52"/>
        <v/>
      </c>
      <c r="AQ41" s="67" t="str">
        <f t="shared" si="52"/>
        <v/>
      </c>
      <c r="AR41" s="67" t="str">
        <f t="shared" si="52"/>
        <v>X</v>
      </c>
      <c r="AS41" s="67" t="str">
        <f t="shared" si="52"/>
        <v/>
      </c>
      <c r="AT41" s="67" t="str">
        <f t="shared" si="52"/>
        <v/>
      </c>
      <c r="AU41" s="68" t="str">
        <f t="shared" si="52"/>
        <v/>
      </c>
      <c r="AV41" s="68" t="str">
        <f t="shared" si="52"/>
        <v/>
      </c>
      <c r="AW41" s="68" t="str">
        <f t="shared" si="52"/>
        <v/>
      </c>
      <c r="AX41" s="68" t="str">
        <f t="shared" si="52"/>
        <v/>
      </c>
      <c r="AY41" s="68" t="str">
        <f t="shared" si="52"/>
        <v/>
      </c>
      <c r="AZ41" s="68" t="str">
        <f t="shared" si="52"/>
        <v>X</v>
      </c>
      <c r="BA41" s="68" t="str">
        <f t="shared" si="52"/>
        <v/>
      </c>
      <c r="CH41"/>
      <c r="CI41"/>
    </row>
    <row r="42" spans="1:87" s="46" customFormat="1" ht="21" customHeight="1">
      <c r="A42" s="44">
        <v>2</v>
      </c>
      <c r="B42" s="58">
        <v>5303039</v>
      </c>
      <c r="C42" s="27" t="s">
        <v>63</v>
      </c>
      <c r="D42" s="78" t="s">
        <v>52</v>
      </c>
      <c r="E42" s="64">
        <v>11</v>
      </c>
      <c r="F42" s="30">
        <f>VLOOKUP(B42,'Estampados por manguera'!A$2:B$500,2,FALSE)</f>
        <v>1</v>
      </c>
      <c r="G42" s="30">
        <f t="shared" si="40"/>
        <v>11</v>
      </c>
      <c r="H42" s="82">
        <v>6</v>
      </c>
      <c r="I42" s="30">
        <f t="shared" si="41"/>
        <v>66</v>
      </c>
      <c r="J42" s="32">
        <f t="shared" si="42"/>
        <v>180</v>
      </c>
      <c r="K42" s="30">
        <f t="shared" si="43"/>
        <v>246</v>
      </c>
      <c r="L42" s="32">
        <v>1203</v>
      </c>
      <c r="M42" s="30">
        <f>VLOOKUP(B42,'Mangueras por contenedor'!A$2:B$500,2,FALSE)</f>
        <v>50</v>
      </c>
      <c r="N42" s="45">
        <f t="shared" si="44"/>
        <v>0.22</v>
      </c>
      <c r="O42" s="11">
        <f t="shared" si="53"/>
        <v>4</v>
      </c>
      <c r="P42" s="32">
        <f t="shared" si="45"/>
        <v>300</v>
      </c>
      <c r="Q42" s="32">
        <f t="shared" si="46"/>
        <v>2</v>
      </c>
      <c r="R42" s="32">
        <f t="shared" si="47"/>
        <v>600</v>
      </c>
      <c r="S42" s="32">
        <f t="shared" si="48"/>
        <v>8</v>
      </c>
      <c r="T42" s="32">
        <f t="shared" si="49"/>
        <v>100</v>
      </c>
      <c r="U42" s="59" t="str">
        <f t="shared" si="50"/>
        <v/>
      </c>
      <c r="V42" s="59" t="str">
        <f t="shared" si="50"/>
        <v/>
      </c>
      <c r="W42" s="59" t="str">
        <f t="shared" si="50"/>
        <v/>
      </c>
      <c r="X42" s="59" t="str">
        <f t="shared" si="50"/>
        <v/>
      </c>
      <c r="Y42" s="59" t="str">
        <f t="shared" si="50"/>
        <v/>
      </c>
      <c r="Z42" s="59" t="str">
        <f t="shared" si="50"/>
        <v/>
      </c>
      <c r="AA42" s="59" t="str">
        <f t="shared" si="50"/>
        <v/>
      </c>
      <c r="AB42" s="59" t="str">
        <f t="shared" si="50"/>
        <v>X</v>
      </c>
      <c r="AC42" s="59" t="str">
        <f t="shared" si="50"/>
        <v/>
      </c>
      <c r="AD42" s="59" t="str">
        <f t="shared" si="50"/>
        <v/>
      </c>
      <c r="AE42" s="59" t="str">
        <f t="shared" si="51"/>
        <v/>
      </c>
      <c r="AF42" s="59" t="str">
        <f t="shared" si="51"/>
        <v/>
      </c>
      <c r="AG42" s="59" t="str">
        <f t="shared" si="51"/>
        <v/>
      </c>
      <c r="AH42" s="67" t="str">
        <f t="shared" si="51"/>
        <v/>
      </c>
      <c r="AI42" s="67" t="str">
        <f t="shared" si="51"/>
        <v/>
      </c>
      <c r="AJ42" s="67" t="str">
        <f t="shared" si="51"/>
        <v>X</v>
      </c>
      <c r="AK42" s="67" t="str">
        <f t="shared" si="51"/>
        <v/>
      </c>
      <c r="AL42" s="67" t="str">
        <f t="shared" si="51"/>
        <v/>
      </c>
      <c r="AM42" s="67" t="str">
        <f t="shared" si="51"/>
        <v/>
      </c>
      <c r="AN42" s="67" t="str">
        <f t="shared" si="51"/>
        <v/>
      </c>
      <c r="AO42" s="67" t="str">
        <f t="shared" si="52"/>
        <v/>
      </c>
      <c r="AP42" s="67" t="str">
        <f t="shared" si="52"/>
        <v/>
      </c>
      <c r="AQ42" s="67" t="str">
        <f t="shared" si="52"/>
        <v/>
      </c>
      <c r="AR42" s="67" t="str">
        <f t="shared" si="52"/>
        <v>X</v>
      </c>
      <c r="AS42" s="67" t="str">
        <f t="shared" si="52"/>
        <v/>
      </c>
      <c r="AT42" s="67" t="str">
        <f t="shared" si="52"/>
        <v/>
      </c>
      <c r="AU42" s="68" t="str">
        <f t="shared" si="52"/>
        <v/>
      </c>
      <c r="AV42" s="68" t="str">
        <f t="shared" si="52"/>
        <v/>
      </c>
      <c r="AW42" s="68" t="str">
        <f t="shared" si="52"/>
        <v/>
      </c>
      <c r="AX42" s="68" t="str">
        <f t="shared" si="52"/>
        <v/>
      </c>
      <c r="AY42" s="68" t="str">
        <f t="shared" si="52"/>
        <v/>
      </c>
      <c r="AZ42" s="68" t="str">
        <f t="shared" si="52"/>
        <v>X</v>
      </c>
      <c r="BA42" s="68" t="str">
        <f t="shared" si="52"/>
        <v/>
      </c>
      <c r="CH42"/>
      <c r="CI42"/>
    </row>
    <row r="43" spans="1:87" s="46" customFormat="1" ht="21" customHeight="1">
      <c r="A43" s="44">
        <v>2</v>
      </c>
      <c r="B43" s="58">
        <v>5303108</v>
      </c>
      <c r="C43" s="27" t="s">
        <v>55</v>
      </c>
      <c r="D43" s="78" t="s">
        <v>52</v>
      </c>
      <c r="E43" s="64">
        <v>10</v>
      </c>
      <c r="F43" s="30">
        <f>VLOOKUP(B43,'Estampados por manguera'!A$2:B$500,2,FALSE)</f>
        <v>2</v>
      </c>
      <c r="G43" s="30">
        <f t="shared" si="40"/>
        <v>20</v>
      </c>
      <c r="H43" s="82">
        <v>6</v>
      </c>
      <c r="I43" s="32">
        <f t="shared" si="41"/>
        <v>120</v>
      </c>
      <c r="J43" s="32">
        <f t="shared" si="42"/>
        <v>180</v>
      </c>
      <c r="K43" s="30">
        <f t="shared" si="43"/>
        <v>300</v>
      </c>
      <c r="L43" s="32">
        <v>1200</v>
      </c>
      <c r="M43" s="30">
        <f>VLOOKUP(B43,'Mangueras por contenedor'!A$2:B$500,2,FALSE)</f>
        <v>35</v>
      </c>
      <c r="N43" s="45">
        <f t="shared" si="44"/>
        <v>0.2857142857142857</v>
      </c>
      <c r="O43" s="11">
        <f t="shared" si="53"/>
        <v>3</v>
      </c>
      <c r="P43" s="32">
        <f t="shared" si="45"/>
        <v>420</v>
      </c>
      <c r="Q43" s="32">
        <f t="shared" si="46"/>
        <v>3</v>
      </c>
      <c r="R43" s="32">
        <f t="shared" si="47"/>
        <v>1260</v>
      </c>
      <c r="S43" s="32">
        <f t="shared" si="48"/>
        <v>9</v>
      </c>
      <c r="T43" s="32">
        <f t="shared" si="49"/>
        <v>105</v>
      </c>
      <c r="U43" s="59" t="str">
        <f t="shared" si="50"/>
        <v/>
      </c>
      <c r="V43" s="59" t="str">
        <f t="shared" si="50"/>
        <v/>
      </c>
      <c r="W43" s="59" t="str">
        <f t="shared" si="50"/>
        <v/>
      </c>
      <c r="X43" s="59" t="str">
        <f t="shared" si="50"/>
        <v/>
      </c>
      <c r="Y43" s="59" t="str">
        <f t="shared" si="50"/>
        <v/>
      </c>
      <c r="Z43" s="59" t="str">
        <f t="shared" si="50"/>
        <v/>
      </c>
      <c r="AA43" s="59" t="str">
        <f t="shared" si="50"/>
        <v/>
      </c>
      <c r="AB43" s="59" t="str">
        <f t="shared" si="50"/>
        <v/>
      </c>
      <c r="AC43" s="59" t="str">
        <f t="shared" si="50"/>
        <v>X</v>
      </c>
      <c r="AD43" s="59" t="str">
        <f t="shared" si="50"/>
        <v/>
      </c>
      <c r="AE43" s="59" t="str">
        <f t="shared" si="51"/>
        <v/>
      </c>
      <c r="AF43" s="59" t="str">
        <f t="shared" si="51"/>
        <v/>
      </c>
      <c r="AG43" s="59" t="str">
        <f t="shared" si="51"/>
        <v/>
      </c>
      <c r="AH43" s="67" t="str">
        <f t="shared" si="51"/>
        <v/>
      </c>
      <c r="AI43" s="67" t="str">
        <f t="shared" si="51"/>
        <v/>
      </c>
      <c r="AJ43" s="67" t="str">
        <f t="shared" si="51"/>
        <v/>
      </c>
      <c r="AK43" s="67" t="str">
        <f t="shared" si="51"/>
        <v/>
      </c>
      <c r="AL43" s="67" t="str">
        <f t="shared" si="51"/>
        <v>X</v>
      </c>
      <c r="AM43" s="67" t="str">
        <f t="shared" si="51"/>
        <v/>
      </c>
      <c r="AN43" s="67" t="str">
        <f t="shared" si="51"/>
        <v/>
      </c>
      <c r="AO43" s="67" t="str">
        <f t="shared" si="52"/>
        <v/>
      </c>
      <c r="AP43" s="67" t="str">
        <f t="shared" si="52"/>
        <v/>
      </c>
      <c r="AQ43" s="67" t="str">
        <f t="shared" si="52"/>
        <v/>
      </c>
      <c r="AR43" s="67" t="str">
        <f t="shared" si="52"/>
        <v/>
      </c>
      <c r="AS43" s="67" t="str">
        <f t="shared" si="52"/>
        <v/>
      </c>
      <c r="AT43" s="67" t="str">
        <f t="shared" si="52"/>
        <v/>
      </c>
      <c r="AU43" s="68" t="str">
        <f t="shared" si="52"/>
        <v>X</v>
      </c>
      <c r="AV43" s="68" t="str">
        <f t="shared" si="52"/>
        <v/>
      </c>
      <c r="AW43" s="68" t="str">
        <f t="shared" si="52"/>
        <v/>
      </c>
      <c r="AX43" s="68" t="str">
        <f t="shared" si="52"/>
        <v/>
      </c>
      <c r="AY43" s="68" t="str">
        <f t="shared" si="52"/>
        <v/>
      </c>
      <c r="AZ43" s="68" t="str">
        <f t="shared" si="52"/>
        <v/>
      </c>
      <c r="BA43" s="68" t="str">
        <f t="shared" si="52"/>
        <v/>
      </c>
      <c r="CH43" s="60"/>
      <c r="CI43" s="60"/>
    </row>
    <row r="44" spans="1:87" s="46" customFormat="1" ht="21" customHeight="1">
      <c r="A44" s="44">
        <v>2</v>
      </c>
      <c r="B44" s="58">
        <v>5303098</v>
      </c>
      <c r="C44" s="27" t="s">
        <v>59</v>
      </c>
      <c r="D44" s="78" t="s">
        <v>52</v>
      </c>
      <c r="E44" s="64">
        <v>10</v>
      </c>
      <c r="F44" s="30">
        <f>VLOOKUP(B44,'Estampados por manguera'!A$2:B$500,2,FALSE)</f>
        <v>1</v>
      </c>
      <c r="G44" s="30">
        <f t="shared" si="40"/>
        <v>10</v>
      </c>
      <c r="H44" s="82">
        <v>6</v>
      </c>
      <c r="I44" s="30">
        <f t="shared" si="41"/>
        <v>60</v>
      </c>
      <c r="J44" s="32">
        <f t="shared" si="42"/>
        <v>180</v>
      </c>
      <c r="K44" s="30">
        <f t="shared" si="43"/>
        <v>240</v>
      </c>
      <c r="L44" s="32">
        <v>1200</v>
      </c>
      <c r="M44" s="30">
        <f>VLOOKUP(B44,'Mangueras por contenedor'!A$2:B$500,2,FALSE)</f>
        <v>35</v>
      </c>
      <c r="N44" s="45">
        <f t="shared" si="44"/>
        <v>0.2857142857142857</v>
      </c>
      <c r="O44" s="11">
        <f t="shared" si="53"/>
        <v>3</v>
      </c>
      <c r="P44" s="32">
        <f t="shared" si="45"/>
        <v>210</v>
      </c>
      <c r="Q44" s="32">
        <f t="shared" si="46"/>
        <v>3</v>
      </c>
      <c r="R44" s="32">
        <f t="shared" si="47"/>
        <v>630</v>
      </c>
      <c r="S44" s="32">
        <f t="shared" si="48"/>
        <v>9</v>
      </c>
      <c r="T44" s="32">
        <f t="shared" si="49"/>
        <v>105</v>
      </c>
      <c r="U44" s="59" t="str">
        <f t="shared" si="50"/>
        <v/>
      </c>
      <c r="V44" s="59" t="str">
        <f t="shared" si="50"/>
        <v/>
      </c>
      <c r="W44" s="59" t="str">
        <f t="shared" si="50"/>
        <v/>
      </c>
      <c r="X44" s="59" t="str">
        <f t="shared" si="50"/>
        <v/>
      </c>
      <c r="Y44" s="59" t="str">
        <f t="shared" si="50"/>
        <v/>
      </c>
      <c r="Z44" s="59" t="str">
        <f t="shared" si="50"/>
        <v/>
      </c>
      <c r="AA44" s="59" t="str">
        <f t="shared" si="50"/>
        <v/>
      </c>
      <c r="AB44" s="59" t="str">
        <f t="shared" si="50"/>
        <v/>
      </c>
      <c r="AC44" s="59" t="str">
        <f t="shared" si="50"/>
        <v>X</v>
      </c>
      <c r="AD44" s="59" t="str">
        <f t="shared" si="50"/>
        <v/>
      </c>
      <c r="AE44" s="59" t="str">
        <f t="shared" si="51"/>
        <v/>
      </c>
      <c r="AF44" s="59" t="str">
        <f t="shared" si="51"/>
        <v/>
      </c>
      <c r="AG44" s="59" t="str">
        <f t="shared" si="51"/>
        <v/>
      </c>
      <c r="AH44" s="67" t="str">
        <f t="shared" si="51"/>
        <v/>
      </c>
      <c r="AI44" s="67" t="str">
        <f t="shared" si="51"/>
        <v/>
      </c>
      <c r="AJ44" s="67" t="str">
        <f t="shared" si="51"/>
        <v/>
      </c>
      <c r="AK44" s="67" t="str">
        <f t="shared" si="51"/>
        <v/>
      </c>
      <c r="AL44" s="67" t="str">
        <f t="shared" si="51"/>
        <v>X</v>
      </c>
      <c r="AM44" s="67" t="str">
        <f t="shared" si="51"/>
        <v/>
      </c>
      <c r="AN44" s="67" t="str">
        <f t="shared" si="51"/>
        <v/>
      </c>
      <c r="AO44" s="67" t="str">
        <f t="shared" si="52"/>
        <v/>
      </c>
      <c r="AP44" s="67" t="str">
        <f t="shared" si="52"/>
        <v/>
      </c>
      <c r="AQ44" s="67" t="str">
        <f t="shared" si="52"/>
        <v/>
      </c>
      <c r="AR44" s="67" t="str">
        <f t="shared" si="52"/>
        <v/>
      </c>
      <c r="AS44" s="67" t="str">
        <f t="shared" si="52"/>
        <v/>
      </c>
      <c r="AT44" s="67" t="str">
        <f t="shared" si="52"/>
        <v/>
      </c>
      <c r="AU44" s="68" t="str">
        <f t="shared" si="52"/>
        <v>X</v>
      </c>
      <c r="AV44" s="68" t="str">
        <f t="shared" si="52"/>
        <v/>
      </c>
      <c r="AW44" s="68" t="str">
        <f t="shared" si="52"/>
        <v/>
      </c>
      <c r="AX44" s="68" t="str">
        <f t="shared" si="52"/>
        <v/>
      </c>
      <c r="AY44" s="68" t="str">
        <f t="shared" si="52"/>
        <v/>
      </c>
      <c r="AZ44" s="68" t="str">
        <f t="shared" si="52"/>
        <v/>
      </c>
      <c r="BA44" s="68" t="str">
        <f t="shared" si="52"/>
        <v/>
      </c>
      <c r="CH44" s="60"/>
      <c r="CI44" s="60"/>
    </row>
    <row r="45" spans="1:87" s="46" customFormat="1" ht="21" customHeight="1">
      <c r="A45" s="44">
        <v>2</v>
      </c>
      <c r="B45" s="58">
        <v>5303176</v>
      </c>
      <c r="C45" s="27" t="s">
        <v>19</v>
      </c>
      <c r="D45" s="88" t="s">
        <v>52</v>
      </c>
      <c r="E45" s="64">
        <v>12</v>
      </c>
      <c r="F45" s="30">
        <f>VLOOKUP(B45,'Estampados por manguera'!A$2:B$500,2,FALSE)</f>
        <v>1</v>
      </c>
      <c r="G45" s="30">
        <f t="shared" si="40"/>
        <v>12</v>
      </c>
      <c r="H45" s="82">
        <v>6</v>
      </c>
      <c r="I45" s="30">
        <f t="shared" si="41"/>
        <v>72</v>
      </c>
      <c r="J45" s="32">
        <f t="shared" si="42"/>
        <v>180</v>
      </c>
      <c r="K45" s="30">
        <f t="shared" si="43"/>
        <v>252</v>
      </c>
      <c r="L45" s="32">
        <v>1200</v>
      </c>
      <c r="M45" s="30">
        <f>VLOOKUP(B45,'Mangueras por contenedor'!A$2:B$500,2,FALSE)</f>
        <v>40</v>
      </c>
      <c r="N45" s="45">
        <f t="shared" si="44"/>
        <v>0.3</v>
      </c>
      <c r="O45" s="11">
        <f t="shared" si="53"/>
        <v>3</v>
      </c>
      <c r="P45" s="32">
        <f t="shared" si="45"/>
        <v>240</v>
      </c>
      <c r="Q45" s="32">
        <f t="shared" si="46"/>
        <v>3</v>
      </c>
      <c r="R45" s="32">
        <f t="shared" si="47"/>
        <v>720</v>
      </c>
      <c r="S45" s="32">
        <f t="shared" si="48"/>
        <v>9</v>
      </c>
      <c r="T45" s="32">
        <f t="shared" si="49"/>
        <v>120</v>
      </c>
      <c r="U45" s="59" t="str">
        <f t="shared" si="50"/>
        <v/>
      </c>
      <c r="V45" s="59" t="str">
        <f t="shared" si="50"/>
        <v/>
      </c>
      <c r="W45" s="59" t="str">
        <f t="shared" si="50"/>
        <v/>
      </c>
      <c r="X45" s="59" t="str">
        <f t="shared" si="50"/>
        <v/>
      </c>
      <c r="Y45" s="59" t="str">
        <f t="shared" si="50"/>
        <v/>
      </c>
      <c r="Z45" s="59" t="str">
        <f t="shared" si="50"/>
        <v/>
      </c>
      <c r="AA45" s="59" t="str">
        <f t="shared" si="50"/>
        <v/>
      </c>
      <c r="AB45" s="59" t="str">
        <f t="shared" si="50"/>
        <v/>
      </c>
      <c r="AC45" s="59" t="str">
        <f t="shared" si="50"/>
        <v>X</v>
      </c>
      <c r="AD45" s="59" t="str">
        <f t="shared" si="50"/>
        <v/>
      </c>
      <c r="AE45" s="59" t="str">
        <f t="shared" si="51"/>
        <v/>
      </c>
      <c r="AF45" s="59" t="str">
        <f t="shared" si="51"/>
        <v/>
      </c>
      <c r="AG45" s="59" t="str">
        <f t="shared" si="51"/>
        <v/>
      </c>
      <c r="AH45" s="67" t="str">
        <f t="shared" si="51"/>
        <v/>
      </c>
      <c r="AI45" s="67" t="str">
        <f t="shared" si="51"/>
        <v/>
      </c>
      <c r="AJ45" s="67" t="str">
        <f t="shared" si="51"/>
        <v/>
      </c>
      <c r="AK45" s="67" t="str">
        <f t="shared" si="51"/>
        <v/>
      </c>
      <c r="AL45" s="67" t="str">
        <f t="shared" si="51"/>
        <v>X</v>
      </c>
      <c r="AM45" s="67" t="str">
        <f t="shared" si="51"/>
        <v/>
      </c>
      <c r="AN45" s="67" t="str">
        <f t="shared" si="51"/>
        <v/>
      </c>
      <c r="AO45" s="67" t="str">
        <f t="shared" si="52"/>
        <v/>
      </c>
      <c r="AP45" s="67" t="str">
        <f t="shared" si="52"/>
        <v/>
      </c>
      <c r="AQ45" s="67" t="str">
        <f t="shared" si="52"/>
        <v/>
      </c>
      <c r="AR45" s="67" t="str">
        <f t="shared" si="52"/>
        <v/>
      </c>
      <c r="AS45" s="67" t="str">
        <f t="shared" si="52"/>
        <v/>
      </c>
      <c r="AT45" s="67" t="str">
        <f t="shared" si="52"/>
        <v/>
      </c>
      <c r="AU45" s="68" t="str">
        <f t="shared" si="52"/>
        <v>X</v>
      </c>
      <c r="AV45" s="68" t="str">
        <f t="shared" si="52"/>
        <v/>
      </c>
      <c r="AW45" s="68" t="str">
        <f t="shared" si="52"/>
        <v/>
      </c>
      <c r="AX45" s="68" t="str">
        <f t="shared" si="52"/>
        <v/>
      </c>
      <c r="AY45" s="68" t="str">
        <f t="shared" si="52"/>
        <v/>
      </c>
      <c r="AZ45" s="68" t="str">
        <f t="shared" si="52"/>
        <v/>
      </c>
      <c r="BA45" s="68" t="str">
        <f t="shared" si="52"/>
        <v/>
      </c>
      <c r="CH45" s="60"/>
      <c r="CI45" s="60"/>
    </row>
    <row r="46" spans="1:87" s="46" customFormat="1" ht="21" customHeight="1">
      <c r="A46" s="44">
        <v>2</v>
      </c>
      <c r="B46" s="58">
        <v>5303034</v>
      </c>
      <c r="C46" s="27" t="s">
        <v>61</v>
      </c>
      <c r="D46" s="78" t="s">
        <v>52</v>
      </c>
      <c r="E46" s="64">
        <v>11</v>
      </c>
      <c r="F46" s="30">
        <f>VLOOKUP(B46,'Estampados por manguera'!A$2:B$500,2,FALSE)</f>
        <v>1</v>
      </c>
      <c r="G46" s="30">
        <f t="shared" si="40"/>
        <v>11</v>
      </c>
      <c r="H46" s="82">
        <v>6</v>
      </c>
      <c r="I46" s="30">
        <f t="shared" si="41"/>
        <v>66</v>
      </c>
      <c r="J46" s="32">
        <f t="shared" si="42"/>
        <v>180</v>
      </c>
      <c r="K46" s="30">
        <f t="shared" si="43"/>
        <v>246</v>
      </c>
      <c r="L46" s="32">
        <v>1200</v>
      </c>
      <c r="M46" s="30">
        <f>VLOOKUP(B46,'Mangueras por contenedor'!A$2:B$500,2,FALSE)</f>
        <v>40</v>
      </c>
      <c r="N46" s="45">
        <f t="shared" si="44"/>
        <v>0.27500000000000002</v>
      </c>
      <c r="O46" s="11">
        <f t="shared" si="53"/>
        <v>3</v>
      </c>
      <c r="P46" s="32">
        <f t="shared" si="45"/>
        <v>240</v>
      </c>
      <c r="Q46" s="32">
        <f t="shared" si="46"/>
        <v>3</v>
      </c>
      <c r="R46" s="32">
        <f t="shared" si="47"/>
        <v>720</v>
      </c>
      <c r="S46" s="32">
        <f t="shared" si="48"/>
        <v>9</v>
      </c>
      <c r="T46" s="32">
        <f t="shared" si="49"/>
        <v>120</v>
      </c>
      <c r="U46" s="59" t="str">
        <f t="shared" si="50"/>
        <v/>
      </c>
      <c r="V46" s="59" t="str">
        <f t="shared" si="50"/>
        <v/>
      </c>
      <c r="W46" s="59" t="str">
        <f t="shared" si="50"/>
        <v/>
      </c>
      <c r="X46" s="59" t="str">
        <f t="shared" si="50"/>
        <v/>
      </c>
      <c r="Y46" s="59" t="str">
        <f t="shared" si="50"/>
        <v/>
      </c>
      <c r="Z46" s="59" t="str">
        <f t="shared" si="50"/>
        <v/>
      </c>
      <c r="AA46" s="59" t="str">
        <f t="shared" si="50"/>
        <v/>
      </c>
      <c r="AB46" s="59" t="str">
        <f t="shared" si="50"/>
        <v/>
      </c>
      <c r="AC46" s="59" t="str">
        <f t="shared" si="50"/>
        <v>X</v>
      </c>
      <c r="AD46" s="59" t="str">
        <f t="shared" si="50"/>
        <v/>
      </c>
      <c r="AE46" s="59" t="str">
        <f t="shared" si="51"/>
        <v/>
      </c>
      <c r="AF46" s="59" t="str">
        <f t="shared" si="51"/>
        <v/>
      </c>
      <c r="AG46" s="59" t="str">
        <f t="shared" si="51"/>
        <v/>
      </c>
      <c r="AH46" s="67" t="str">
        <f t="shared" si="51"/>
        <v/>
      </c>
      <c r="AI46" s="67" t="str">
        <f t="shared" si="51"/>
        <v/>
      </c>
      <c r="AJ46" s="67" t="str">
        <f t="shared" si="51"/>
        <v/>
      </c>
      <c r="AK46" s="67" t="str">
        <f t="shared" si="51"/>
        <v/>
      </c>
      <c r="AL46" s="67" t="str">
        <f t="shared" si="51"/>
        <v>X</v>
      </c>
      <c r="AM46" s="67" t="str">
        <f t="shared" si="51"/>
        <v/>
      </c>
      <c r="AN46" s="67" t="str">
        <f t="shared" si="51"/>
        <v/>
      </c>
      <c r="AO46" s="67" t="str">
        <f t="shared" si="52"/>
        <v/>
      </c>
      <c r="AP46" s="67" t="str">
        <f t="shared" si="52"/>
        <v/>
      </c>
      <c r="AQ46" s="67" t="str">
        <f t="shared" si="52"/>
        <v/>
      </c>
      <c r="AR46" s="67" t="str">
        <f t="shared" si="52"/>
        <v/>
      </c>
      <c r="AS46" s="67" t="str">
        <f t="shared" si="52"/>
        <v/>
      </c>
      <c r="AT46" s="67" t="str">
        <f t="shared" si="52"/>
        <v/>
      </c>
      <c r="AU46" s="68" t="str">
        <f t="shared" si="52"/>
        <v>X</v>
      </c>
      <c r="AV46" s="68" t="str">
        <f t="shared" si="52"/>
        <v/>
      </c>
      <c r="AW46" s="68" t="str">
        <f t="shared" si="52"/>
        <v/>
      </c>
      <c r="AX46" s="68" t="str">
        <f t="shared" si="52"/>
        <v/>
      </c>
      <c r="AY46" s="68" t="str">
        <f t="shared" si="52"/>
        <v/>
      </c>
      <c r="AZ46" s="68" t="str">
        <f t="shared" si="52"/>
        <v/>
      </c>
      <c r="BA46" s="68" t="str">
        <f t="shared" si="52"/>
        <v/>
      </c>
      <c r="CH46" s="60"/>
      <c r="CI46" s="60"/>
    </row>
    <row r="47" spans="1:87" s="46" customFormat="1" ht="21" customHeight="1">
      <c r="A47" s="44">
        <v>2</v>
      </c>
      <c r="B47" s="58">
        <v>5303100</v>
      </c>
      <c r="C47" s="27" t="s">
        <v>64</v>
      </c>
      <c r="D47" s="78" t="s">
        <v>52</v>
      </c>
      <c r="E47" s="64">
        <v>11</v>
      </c>
      <c r="F47" s="30">
        <f>VLOOKUP(B47,'Estampados por manguera'!A$2:B$500,2,FALSE)</f>
        <v>1</v>
      </c>
      <c r="G47" s="30">
        <f t="shared" si="40"/>
        <v>11</v>
      </c>
      <c r="H47" s="82">
        <v>6</v>
      </c>
      <c r="I47" s="30">
        <f t="shared" si="41"/>
        <v>66</v>
      </c>
      <c r="J47" s="32">
        <f t="shared" si="42"/>
        <v>180</v>
      </c>
      <c r="K47" s="30">
        <f t="shared" si="43"/>
        <v>246</v>
      </c>
      <c r="L47" s="32">
        <v>1200</v>
      </c>
      <c r="M47" s="30">
        <f>VLOOKUP(B47,'Mangueras por contenedor'!A$2:B$500,2,FALSE)</f>
        <v>35</v>
      </c>
      <c r="N47" s="45">
        <f t="shared" si="44"/>
        <v>0.31428571428571428</v>
      </c>
      <c r="O47" s="11">
        <f t="shared" si="53"/>
        <v>3</v>
      </c>
      <c r="P47" s="32">
        <f t="shared" si="45"/>
        <v>210</v>
      </c>
      <c r="Q47" s="32">
        <f t="shared" si="46"/>
        <v>3</v>
      </c>
      <c r="R47" s="32">
        <f t="shared" si="47"/>
        <v>630</v>
      </c>
      <c r="S47" s="32">
        <f t="shared" si="48"/>
        <v>9</v>
      </c>
      <c r="T47" s="32">
        <f t="shared" si="49"/>
        <v>105</v>
      </c>
      <c r="U47" s="59" t="str">
        <f t="shared" ref="U47:AD56" si="54">IF(OR(U$36/$S47=1,U$36/$S47=2,U$36/$S47=3,U$36/$S47=4,U$36/$S47=5,U$36/$S47=6,U$36/$S47=7,U$36/$S47=8,U$36/$S47=9,U$36/$S47=10,U$36/$S47=11,U$36/$S47=12,U$36/$S47=13,U$36/$S47=14,U$36/$S47=15,U$36/$S47=16,U$36/$S47=17,U$36/$S47=18,U$36/$S47=19,U$36/$S47=20,U$36/$S47=21,U$36/$S47=22,U$36/$S47=23,U$36/$S47=24,U$36/$S47=25,U$36/$S47=26,U$36/$S47=27,U$36/$S47=28,U$36/$S47=29,U$36/$S47=30,U$36/$S47=31,U$36/$S47=32,U$36/$S47=33),"X","")</f>
        <v/>
      </c>
      <c r="V47" s="59" t="str">
        <f t="shared" si="54"/>
        <v/>
      </c>
      <c r="W47" s="59" t="str">
        <f t="shared" si="54"/>
        <v/>
      </c>
      <c r="X47" s="59" t="str">
        <f t="shared" si="54"/>
        <v/>
      </c>
      <c r="Y47" s="59" t="str">
        <f t="shared" si="54"/>
        <v/>
      </c>
      <c r="Z47" s="59" t="str">
        <f t="shared" si="54"/>
        <v/>
      </c>
      <c r="AA47" s="59" t="str">
        <f t="shared" si="54"/>
        <v/>
      </c>
      <c r="AB47" s="59" t="str">
        <f t="shared" si="54"/>
        <v/>
      </c>
      <c r="AC47" s="59" t="str">
        <f t="shared" si="54"/>
        <v>X</v>
      </c>
      <c r="AD47" s="59" t="str">
        <f t="shared" si="54"/>
        <v/>
      </c>
      <c r="AE47" s="59" t="str">
        <f t="shared" ref="AE47:AN56" si="55">IF(OR(AE$36/$S47=1,AE$36/$S47=2,AE$36/$S47=3,AE$36/$S47=4,AE$36/$S47=5,AE$36/$S47=6,AE$36/$S47=7,AE$36/$S47=8,AE$36/$S47=9,AE$36/$S47=10,AE$36/$S47=11,AE$36/$S47=12,AE$36/$S47=13,AE$36/$S47=14,AE$36/$S47=15,AE$36/$S47=16,AE$36/$S47=17,AE$36/$S47=18,AE$36/$S47=19,AE$36/$S47=20,AE$36/$S47=21,AE$36/$S47=22,AE$36/$S47=23,AE$36/$S47=24,AE$36/$S47=25,AE$36/$S47=26,AE$36/$S47=27,AE$36/$S47=28,AE$36/$S47=29,AE$36/$S47=30,AE$36/$S47=31,AE$36/$S47=32,AE$36/$S47=33),"X","")</f>
        <v/>
      </c>
      <c r="AF47" s="59" t="str">
        <f t="shared" si="55"/>
        <v/>
      </c>
      <c r="AG47" s="59" t="str">
        <f t="shared" si="55"/>
        <v/>
      </c>
      <c r="AH47" s="67" t="str">
        <f t="shared" si="55"/>
        <v/>
      </c>
      <c r="AI47" s="67" t="str">
        <f t="shared" si="55"/>
        <v/>
      </c>
      <c r="AJ47" s="67" t="str">
        <f t="shared" si="55"/>
        <v/>
      </c>
      <c r="AK47" s="67" t="str">
        <f t="shared" si="55"/>
        <v/>
      </c>
      <c r="AL47" s="67" t="str">
        <f t="shared" si="55"/>
        <v>X</v>
      </c>
      <c r="AM47" s="67" t="str">
        <f t="shared" si="55"/>
        <v/>
      </c>
      <c r="AN47" s="67" t="str">
        <f t="shared" si="55"/>
        <v/>
      </c>
      <c r="AO47" s="67" t="str">
        <f t="shared" ref="AO47:BA56" si="56">IF(OR(AO$36/$S47=1,AO$36/$S47=2,AO$36/$S47=3,AO$36/$S47=4,AO$36/$S47=5,AO$36/$S47=6,AO$36/$S47=7,AO$36/$S47=8,AO$36/$S47=9,AO$36/$S47=10,AO$36/$S47=11,AO$36/$S47=12,AO$36/$S47=13,AO$36/$S47=14,AO$36/$S47=15,AO$36/$S47=16,AO$36/$S47=17,AO$36/$S47=18,AO$36/$S47=19,AO$36/$S47=20,AO$36/$S47=21,AO$36/$S47=22,AO$36/$S47=23,AO$36/$S47=24,AO$36/$S47=25,AO$36/$S47=26,AO$36/$S47=27,AO$36/$S47=28,AO$36/$S47=29,AO$36/$S47=30,AO$36/$S47=31,AO$36/$S47=32,AO$36/$S47=33),"X","")</f>
        <v/>
      </c>
      <c r="AP47" s="67" t="str">
        <f t="shared" si="56"/>
        <v/>
      </c>
      <c r="AQ47" s="67" t="str">
        <f t="shared" si="56"/>
        <v/>
      </c>
      <c r="AR47" s="67" t="str">
        <f t="shared" si="56"/>
        <v/>
      </c>
      <c r="AS47" s="67" t="str">
        <f t="shared" si="56"/>
        <v/>
      </c>
      <c r="AT47" s="67" t="str">
        <f t="shared" si="56"/>
        <v/>
      </c>
      <c r="AU47" s="68" t="str">
        <f t="shared" si="56"/>
        <v>X</v>
      </c>
      <c r="AV47" s="68" t="str">
        <f t="shared" si="56"/>
        <v/>
      </c>
      <c r="AW47" s="68" t="str">
        <f t="shared" si="56"/>
        <v/>
      </c>
      <c r="AX47" s="68" t="str">
        <f t="shared" si="56"/>
        <v/>
      </c>
      <c r="AY47" s="68" t="str">
        <f t="shared" si="56"/>
        <v/>
      </c>
      <c r="AZ47" s="68" t="str">
        <f t="shared" si="56"/>
        <v/>
      </c>
      <c r="BA47" s="68" t="str">
        <f t="shared" si="56"/>
        <v/>
      </c>
      <c r="CH47" s="60"/>
      <c r="CI47" s="60"/>
    </row>
    <row r="48" spans="1:87" s="46" customFormat="1" ht="21" customHeight="1">
      <c r="A48" s="44">
        <v>2</v>
      </c>
      <c r="B48" s="58">
        <v>5303043</v>
      </c>
      <c r="C48" s="27" t="s">
        <v>60</v>
      </c>
      <c r="D48" s="78" t="s">
        <v>52</v>
      </c>
      <c r="E48" s="64">
        <v>11</v>
      </c>
      <c r="F48" s="30">
        <f>VLOOKUP(B48,'Estampados por manguera'!A$2:B$500,2,FALSE)</f>
        <v>3</v>
      </c>
      <c r="G48" s="30">
        <f t="shared" si="40"/>
        <v>33</v>
      </c>
      <c r="H48" s="82">
        <v>6</v>
      </c>
      <c r="I48" s="30">
        <f t="shared" si="41"/>
        <v>198</v>
      </c>
      <c r="J48" s="32">
        <f t="shared" si="42"/>
        <v>180</v>
      </c>
      <c r="K48" s="30">
        <f t="shared" si="43"/>
        <v>378</v>
      </c>
      <c r="L48" s="32">
        <v>1200</v>
      </c>
      <c r="M48" s="30">
        <f>VLOOKUP(B48,'Mangueras por contenedor'!A$2:B$500,2,FALSE)</f>
        <v>65</v>
      </c>
      <c r="N48" s="45">
        <f t="shared" si="44"/>
        <v>0.16923076923076924</v>
      </c>
      <c r="O48" s="11">
        <f t="shared" si="53"/>
        <v>5</v>
      </c>
      <c r="P48" s="32">
        <f t="shared" si="45"/>
        <v>1170</v>
      </c>
      <c r="Q48" s="32">
        <f t="shared" si="46"/>
        <v>2</v>
      </c>
      <c r="R48" s="32">
        <f t="shared" si="47"/>
        <v>2340</v>
      </c>
      <c r="S48" s="32">
        <f t="shared" si="48"/>
        <v>10</v>
      </c>
      <c r="T48" s="32">
        <f t="shared" si="49"/>
        <v>130</v>
      </c>
      <c r="U48" s="59" t="str">
        <f t="shared" si="54"/>
        <v/>
      </c>
      <c r="V48" s="59" t="str">
        <f t="shared" si="54"/>
        <v/>
      </c>
      <c r="W48" s="59" t="str">
        <f t="shared" si="54"/>
        <v/>
      </c>
      <c r="X48" s="59" t="str">
        <f t="shared" si="54"/>
        <v/>
      </c>
      <c r="Y48" s="59" t="str">
        <f t="shared" si="54"/>
        <v/>
      </c>
      <c r="Z48" s="59" t="str">
        <f t="shared" si="54"/>
        <v/>
      </c>
      <c r="AA48" s="59" t="str">
        <f t="shared" si="54"/>
        <v/>
      </c>
      <c r="AB48" s="59" t="str">
        <f t="shared" si="54"/>
        <v/>
      </c>
      <c r="AC48" s="59" t="str">
        <f t="shared" si="54"/>
        <v/>
      </c>
      <c r="AD48" s="59" t="str">
        <f t="shared" si="54"/>
        <v>X</v>
      </c>
      <c r="AE48" s="59" t="str">
        <f t="shared" si="55"/>
        <v/>
      </c>
      <c r="AF48" s="59" t="str">
        <f t="shared" si="55"/>
        <v/>
      </c>
      <c r="AG48" s="59" t="str">
        <f t="shared" si="55"/>
        <v/>
      </c>
      <c r="AH48" s="67" t="str">
        <f t="shared" si="55"/>
        <v/>
      </c>
      <c r="AI48" s="67" t="str">
        <f t="shared" si="55"/>
        <v/>
      </c>
      <c r="AJ48" s="67" t="str">
        <f t="shared" si="55"/>
        <v/>
      </c>
      <c r="AK48" s="67" t="str">
        <f t="shared" si="55"/>
        <v/>
      </c>
      <c r="AL48" s="67" t="str">
        <f t="shared" si="55"/>
        <v/>
      </c>
      <c r="AM48" s="67" t="str">
        <f t="shared" si="55"/>
        <v/>
      </c>
      <c r="AN48" s="67" t="str">
        <f t="shared" si="55"/>
        <v>X</v>
      </c>
      <c r="AO48" s="67" t="str">
        <f t="shared" si="56"/>
        <v/>
      </c>
      <c r="AP48" s="67" t="str">
        <f t="shared" si="56"/>
        <v/>
      </c>
      <c r="AQ48" s="67" t="str">
        <f t="shared" si="56"/>
        <v/>
      </c>
      <c r="AR48" s="67" t="str">
        <f t="shared" si="56"/>
        <v/>
      </c>
      <c r="AS48" s="67" t="str">
        <f t="shared" si="56"/>
        <v/>
      </c>
      <c r="AT48" s="67" t="str">
        <f t="shared" si="56"/>
        <v/>
      </c>
      <c r="AU48" s="68" t="str">
        <f t="shared" si="56"/>
        <v/>
      </c>
      <c r="AV48" s="68" t="str">
        <f t="shared" si="56"/>
        <v/>
      </c>
      <c r="AW48" s="68" t="str">
        <f t="shared" si="56"/>
        <v/>
      </c>
      <c r="AX48" s="68" t="str">
        <f t="shared" si="56"/>
        <v>X</v>
      </c>
      <c r="AY48" s="68" t="str">
        <f t="shared" si="56"/>
        <v/>
      </c>
      <c r="AZ48" s="68" t="str">
        <f t="shared" si="56"/>
        <v/>
      </c>
      <c r="BA48" s="68" t="str">
        <f t="shared" si="56"/>
        <v/>
      </c>
      <c r="CH48" s="60"/>
      <c r="CI48" s="60"/>
    </row>
    <row r="49" spans="1:87" s="46" customFormat="1" ht="21" customHeight="1">
      <c r="A49" s="44">
        <v>2</v>
      </c>
      <c r="B49" s="58">
        <v>5303038</v>
      </c>
      <c r="C49" s="27" t="s">
        <v>62</v>
      </c>
      <c r="D49" s="78" t="s">
        <v>52</v>
      </c>
      <c r="E49" s="64">
        <v>10</v>
      </c>
      <c r="F49" s="30">
        <f>VLOOKUP(B49,'Estampados por manguera'!A$2:B$500,2,FALSE)</f>
        <v>3</v>
      </c>
      <c r="G49" s="30">
        <f t="shared" si="40"/>
        <v>30</v>
      </c>
      <c r="H49" s="82">
        <v>6</v>
      </c>
      <c r="I49" s="30">
        <f t="shared" si="41"/>
        <v>180</v>
      </c>
      <c r="J49" s="32">
        <f t="shared" si="42"/>
        <v>180</v>
      </c>
      <c r="K49" s="30">
        <f t="shared" si="43"/>
        <v>360</v>
      </c>
      <c r="L49" s="32">
        <v>1200</v>
      </c>
      <c r="M49" s="30">
        <f>VLOOKUP(B49,'Mangueras por contenedor'!A$2:B$500,2,FALSE)</f>
        <v>60</v>
      </c>
      <c r="N49" s="45">
        <f t="shared" si="44"/>
        <v>0.16666666666666666</v>
      </c>
      <c r="O49" s="11">
        <f t="shared" si="53"/>
        <v>5</v>
      </c>
      <c r="P49" s="32">
        <f t="shared" si="45"/>
        <v>1080</v>
      </c>
      <c r="Q49" s="32">
        <f t="shared" si="46"/>
        <v>2</v>
      </c>
      <c r="R49" s="32">
        <f t="shared" si="47"/>
        <v>2160</v>
      </c>
      <c r="S49" s="32">
        <f t="shared" si="48"/>
        <v>10</v>
      </c>
      <c r="T49" s="32">
        <f t="shared" si="49"/>
        <v>120</v>
      </c>
      <c r="U49" s="59" t="str">
        <f t="shared" si="54"/>
        <v/>
      </c>
      <c r="V49" s="59" t="str">
        <f t="shared" si="54"/>
        <v/>
      </c>
      <c r="W49" s="59" t="str">
        <f t="shared" si="54"/>
        <v/>
      </c>
      <c r="X49" s="59" t="str">
        <f t="shared" si="54"/>
        <v/>
      </c>
      <c r="Y49" s="59" t="str">
        <f t="shared" si="54"/>
        <v/>
      </c>
      <c r="Z49" s="59" t="str">
        <f t="shared" si="54"/>
        <v/>
      </c>
      <c r="AA49" s="59" t="str">
        <f t="shared" si="54"/>
        <v/>
      </c>
      <c r="AB49" s="59" t="str">
        <f t="shared" si="54"/>
        <v/>
      </c>
      <c r="AC49" s="59" t="str">
        <f t="shared" si="54"/>
        <v/>
      </c>
      <c r="AD49" s="59" t="str">
        <f t="shared" si="54"/>
        <v>X</v>
      </c>
      <c r="AE49" s="59" t="str">
        <f t="shared" si="55"/>
        <v/>
      </c>
      <c r="AF49" s="59" t="str">
        <f t="shared" si="55"/>
        <v/>
      </c>
      <c r="AG49" s="59" t="str">
        <f t="shared" si="55"/>
        <v/>
      </c>
      <c r="AH49" s="67" t="str">
        <f t="shared" si="55"/>
        <v/>
      </c>
      <c r="AI49" s="67" t="str">
        <f t="shared" si="55"/>
        <v/>
      </c>
      <c r="AJ49" s="67" t="str">
        <f t="shared" si="55"/>
        <v/>
      </c>
      <c r="AK49" s="67" t="str">
        <f t="shared" si="55"/>
        <v/>
      </c>
      <c r="AL49" s="67" t="str">
        <f t="shared" si="55"/>
        <v/>
      </c>
      <c r="AM49" s="67" t="str">
        <f t="shared" si="55"/>
        <v/>
      </c>
      <c r="AN49" s="67" t="str">
        <f t="shared" si="55"/>
        <v>X</v>
      </c>
      <c r="AO49" s="67" t="str">
        <f t="shared" si="56"/>
        <v/>
      </c>
      <c r="AP49" s="67" t="str">
        <f t="shared" si="56"/>
        <v/>
      </c>
      <c r="AQ49" s="67" t="str">
        <f t="shared" si="56"/>
        <v/>
      </c>
      <c r="AR49" s="67" t="str">
        <f t="shared" si="56"/>
        <v/>
      </c>
      <c r="AS49" s="67" t="str">
        <f t="shared" si="56"/>
        <v/>
      </c>
      <c r="AT49" s="67" t="str">
        <f t="shared" si="56"/>
        <v/>
      </c>
      <c r="AU49" s="68" t="str">
        <f t="shared" si="56"/>
        <v/>
      </c>
      <c r="AV49" s="68" t="str">
        <f t="shared" si="56"/>
        <v/>
      </c>
      <c r="AW49" s="68" t="str">
        <f t="shared" si="56"/>
        <v/>
      </c>
      <c r="AX49" s="68" t="str">
        <f t="shared" si="56"/>
        <v>X</v>
      </c>
      <c r="AY49" s="68" t="str">
        <f t="shared" si="56"/>
        <v/>
      </c>
      <c r="AZ49" s="68" t="str">
        <f t="shared" si="56"/>
        <v/>
      </c>
      <c r="BA49" s="68" t="str">
        <f t="shared" si="56"/>
        <v/>
      </c>
      <c r="CH49" s="60"/>
      <c r="CI49" s="60"/>
    </row>
    <row r="50" spans="1:87" s="46" customFormat="1" ht="21" customHeight="1">
      <c r="A50" s="44">
        <v>2</v>
      </c>
      <c r="B50" s="58">
        <v>5203109</v>
      </c>
      <c r="C50" s="27" t="s">
        <v>56</v>
      </c>
      <c r="D50" s="78" t="s">
        <v>52</v>
      </c>
      <c r="E50" s="64">
        <v>12</v>
      </c>
      <c r="F50" s="30">
        <f>VLOOKUP(B50,'Estampados por manguera'!A$2:B$500,2,FALSE)</f>
        <v>2</v>
      </c>
      <c r="G50" s="30">
        <f t="shared" si="40"/>
        <v>24</v>
      </c>
      <c r="H50" s="82">
        <v>6</v>
      </c>
      <c r="I50" s="30">
        <f t="shared" si="41"/>
        <v>144</v>
      </c>
      <c r="J50" s="32">
        <f t="shared" si="42"/>
        <v>180</v>
      </c>
      <c r="K50" s="30">
        <f t="shared" si="43"/>
        <v>324</v>
      </c>
      <c r="L50" s="32">
        <v>1200</v>
      </c>
      <c r="M50" s="30">
        <f>VLOOKUP(B50,'Mangueras por contenedor'!A$2:B$500,2,FALSE)</f>
        <v>23</v>
      </c>
      <c r="N50" s="45">
        <f t="shared" si="44"/>
        <v>0.52173913043478259</v>
      </c>
      <c r="O50" s="11">
        <f t="shared" si="53"/>
        <v>2</v>
      </c>
      <c r="P50" s="32">
        <f t="shared" si="45"/>
        <v>276</v>
      </c>
      <c r="Q50" s="32">
        <f t="shared" si="46"/>
        <v>5</v>
      </c>
      <c r="R50" s="32">
        <f t="shared" si="47"/>
        <v>1380</v>
      </c>
      <c r="S50" s="32">
        <f t="shared" si="48"/>
        <v>10</v>
      </c>
      <c r="T50" s="32">
        <f t="shared" si="49"/>
        <v>115</v>
      </c>
      <c r="U50" s="59" t="str">
        <f t="shared" si="54"/>
        <v/>
      </c>
      <c r="V50" s="59" t="str">
        <f t="shared" si="54"/>
        <v/>
      </c>
      <c r="W50" s="59" t="str">
        <f t="shared" si="54"/>
        <v/>
      </c>
      <c r="X50" s="59" t="str">
        <f t="shared" si="54"/>
        <v/>
      </c>
      <c r="Y50" s="59" t="str">
        <f t="shared" si="54"/>
        <v/>
      </c>
      <c r="Z50" s="59" t="str">
        <f t="shared" si="54"/>
        <v/>
      </c>
      <c r="AA50" s="59" t="str">
        <f t="shared" si="54"/>
        <v/>
      </c>
      <c r="AB50" s="59" t="str">
        <f t="shared" si="54"/>
        <v/>
      </c>
      <c r="AC50" s="59" t="str">
        <f t="shared" si="54"/>
        <v/>
      </c>
      <c r="AD50" s="59" t="str">
        <f t="shared" si="54"/>
        <v>X</v>
      </c>
      <c r="AE50" s="59" t="str">
        <f t="shared" si="55"/>
        <v/>
      </c>
      <c r="AF50" s="59" t="str">
        <f t="shared" si="55"/>
        <v/>
      </c>
      <c r="AG50" s="59" t="str">
        <f t="shared" si="55"/>
        <v/>
      </c>
      <c r="AH50" s="67" t="str">
        <f t="shared" si="55"/>
        <v/>
      </c>
      <c r="AI50" s="67" t="str">
        <f t="shared" si="55"/>
        <v/>
      </c>
      <c r="AJ50" s="67" t="str">
        <f t="shared" si="55"/>
        <v/>
      </c>
      <c r="AK50" s="67" t="str">
        <f t="shared" si="55"/>
        <v/>
      </c>
      <c r="AL50" s="67" t="str">
        <f t="shared" si="55"/>
        <v/>
      </c>
      <c r="AM50" s="67" t="str">
        <f t="shared" si="55"/>
        <v/>
      </c>
      <c r="AN50" s="67" t="str">
        <f t="shared" si="55"/>
        <v>X</v>
      </c>
      <c r="AO50" s="67" t="str">
        <f t="shared" si="56"/>
        <v/>
      </c>
      <c r="AP50" s="67" t="str">
        <f t="shared" si="56"/>
        <v/>
      </c>
      <c r="AQ50" s="67" t="str">
        <f t="shared" si="56"/>
        <v/>
      </c>
      <c r="AR50" s="67" t="str">
        <f t="shared" si="56"/>
        <v/>
      </c>
      <c r="AS50" s="67" t="str">
        <f t="shared" si="56"/>
        <v/>
      </c>
      <c r="AT50" s="67" t="str">
        <f t="shared" si="56"/>
        <v/>
      </c>
      <c r="AU50" s="68" t="str">
        <f t="shared" si="56"/>
        <v/>
      </c>
      <c r="AV50" s="68" t="str">
        <f t="shared" si="56"/>
        <v/>
      </c>
      <c r="AW50" s="68" t="str">
        <f t="shared" si="56"/>
        <v/>
      </c>
      <c r="AX50" s="68" t="str">
        <f t="shared" si="56"/>
        <v>X</v>
      </c>
      <c r="AY50" s="68" t="str">
        <f t="shared" si="56"/>
        <v/>
      </c>
      <c r="AZ50" s="68" t="str">
        <f t="shared" si="56"/>
        <v/>
      </c>
      <c r="BA50" s="68" t="str">
        <f t="shared" si="56"/>
        <v/>
      </c>
      <c r="CH50" s="60"/>
      <c r="CI50" s="60"/>
    </row>
    <row r="51" spans="1:87" s="46" customFormat="1" ht="21" customHeight="1">
      <c r="A51" s="44">
        <v>2</v>
      </c>
      <c r="B51" s="58">
        <v>5203044</v>
      </c>
      <c r="C51" s="27" t="s">
        <v>54</v>
      </c>
      <c r="D51" s="78" t="s">
        <v>52</v>
      </c>
      <c r="E51" s="64">
        <v>11</v>
      </c>
      <c r="F51" s="30">
        <f>VLOOKUP(B51,'Estampados por manguera'!A$2:B$500,2,FALSE)</f>
        <v>5</v>
      </c>
      <c r="G51" s="30">
        <f t="shared" si="40"/>
        <v>55</v>
      </c>
      <c r="H51" s="82">
        <v>6</v>
      </c>
      <c r="I51" s="30">
        <f t="shared" si="41"/>
        <v>330</v>
      </c>
      <c r="J51" s="32">
        <f t="shared" si="42"/>
        <v>180</v>
      </c>
      <c r="K51" s="30">
        <f t="shared" si="43"/>
        <v>510</v>
      </c>
      <c r="L51" s="32">
        <v>1200</v>
      </c>
      <c r="M51" s="30">
        <f>VLOOKUP(B51,'Mangueras por contenedor'!A$2:B$500,2,FALSE)</f>
        <v>30</v>
      </c>
      <c r="N51" s="45">
        <f t="shared" si="44"/>
        <v>0.36666666666666664</v>
      </c>
      <c r="O51" s="11">
        <f t="shared" si="53"/>
        <v>3</v>
      </c>
      <c r="P51" s="32">
        <f t="shared" si="45"/>
        <v>900</v>
      </c>
      <c r="Q51" s="32">
        <f t="shared" si="46"/>
        <v>4</v>
      </c>
      <c r="R51" s="32">
        <f t="shared" si="47"/>
        <v>3600</v>
      </c>
      <c r="S51" s="32">
        <f t="shared" si="48"/>
        <v>12</v>
      </c>
      <c r="T51" s="32">
        <f t="shared" si="49"/>
        <v>120</v>
      </c>
      <c r="U51" s="59" t="str">
        <f t="shared" si="54"/>
        <v/>
      </c>
      <c r="V51" s="59" t="str">
        <f t="shared" si="54"/>
        <v/>
      </c>
      <c r="W51" s="59" t="str">
        <f t="shared" si="54"/>
        <v/>
      </c>
      <c r="X51" s="59" t="str">
        <f t="shared" si="54"/>
        <v/>
      </c>
      <c r="Y51" s="59" t="str">
        <f t="shared" si="54"/>
        <v/>
      </c>
      <c r="Z51" s="59" t="str">
        <f t="shared" si="54"/>
        <v/>
      </c>
      <c r="AA51" s="59" t="str">
        <f t="shared" si="54"/>
        <v/>
      </c>
      <c r="AB51" s="59" t="str">
        <f t="shared" si="54"/>
        <v/>
      </c>
      <c r="AC51" s="59" t="str">
        <f t="shared" si="54"/>
        <v/>
      </c>
      <c r="AD51" s="59" t="str">
        <f t="shared" si="54"/>
        <v/>
      </c>
      <c r="AE51" s="59" t="str">
        <f t="shared" si="55"/>
        <v/>
      </c>
      <c r="AF51" s="59" t="str">
        <f t="shared" si="55"/>
        <v>X</v>
      </c>
      <c r="AG51" s="59" t="str">
        <f t="shared" si="55"/>
        <v/>
      </c>
      <c r="AH51" s="67" t="str">
        <f t="shared" si="55"/>
        <v/>
      </c>
      <c r="AI51" s="67" t="str">
        <f t="shared" si="55"/>
        <v/>
      </c>
      <c r="AJ51" s="67" t="str">
        <f t="shared" si="55"/>
        <v/>
      </c>
      <c r="AK51" s="67" t="str">
        <f t="shared" si="55"/>
        <v/>
      </c>
      <c r="AL51" s="67" t="str">
        <f t="shared" si="55"/>
        <v/>
      </c>
      <c r="AM51" s="67" t="str">
        <f t="shared" si="55"/>
        <v/>
      </c>
      <c r="AN51" s="67" t="str">
        <f t="shared" si="55"/>
        <v/>
      </c>
      <c r="AO51" s="67" t="str">
        <f t="shared" si="56"/>
        <v/>
      </c>
      <c r="AP51" s="67" t="str">
        <f t="shared" si="56"/>
        <v/>
      </c>
      <c r="AQ51" s="67"/>
      <c r="AR51" s="67"/>
      <c r="AS51" s="67" t="s">
        <v>202</v>
      </c>
      <c r="AT51" s="67" t="str">
        <f t="shared" si="56"/>
        <v/>
      </c>
      <c r="AU51" s="68" t="str">
        <f t="shared" si="56"/>
        <v/>
      </c>
      <c r="AV51" s="68" t="str">
        <f t="shared" si="56"/>
        <v/>
      </c>
      <c r="AW51" s="68" t="str">
        <f t="shared" si="56"/>
        <v/>
      </c>
      <c r="AX51" s="68" t="str">
        <f t="shared" si="56"/>
        <v/>
      </c>
      <c r="AY51" s="68" t="str">
        <f t="shared" si="56"/>
        <v/>
      </c>
      <c r="AZ51" s="68" t="str">
        <f t="shared" si="56"/>
        <v/>
      </c>
      <c r="BA51" s="68" t="str">
        <f t="shared" si="56"/>
        <v/>
      </c>
      <c r="CH51" s="60"/>
      <c r="CI51" s="60"/>
    </row>
    <row r="52" spans="1:87" s="46" customFormat="1" ht="21" customHeight="1">
      <c r="A52" s="44">
        <v>2</v>
      </c>
      <c r="B52" s="58">
        <v>5303105</v>
      </c>
      <c r="C52" s="27" t="s">
        <v>57</v>
      </c>
      <c r="D52" s="78" t="s">
        <v>52</v>
      </c>
      <c r="E52" s="64">
        <v>10</v>
      </c>
      <c r="F52" s="30">
        <f>VLOOKUP(B52,'Estampados por manguera'!A$2:B$500,2,FALSE)</f>
        <v>1</v>
      </c>
      <c r="G52" s="30">
        <f t="shared" si="40"/>
        <v>10</v>
      </c>
      <c r="H52" s="82">
        <v>6</v>
      </c>
      <c r="I52" s="32">
        <f t="shared" si="41"/>
        <v>60</v>
      </c>
      <c r="J52" s="32">
        <f t="shared" si="42"/>
        <v>180</v>
      </c>
      <c r="K52" s="30">
        <f t="shared" si="43"/>
        <v>240</v>
      </c>
      <c r="L52" s="32">
        <v>1200</v>
      </c>
      <c r="M52" s="30">
        <f>VLOOKUP(B52,'Mangueras por contenedor'!A$2:B$500,2,FALSE)</f>
        <v>30</v>
      </c>
      <c r="N52" s="45">
        <f t="shared" si="44"/>
        <v>0.33333333333333331</v>
      </c>
      <c r="O52" s="11">
        <f t="shared" si="53"/>
        <v>3</v>
      </c>
      <c r="P52" s="32">
        <f t="shared" si="45"/>
        <v>180</v>
      </c>
      <c r="Q52" s="32">
        <f t="shared" si="46"/>
        <v>4</v>
      </c>
      <c r="R52" s="32">
        <f t="shared" si="47"/>
        <v>720</v>
      </c>
      <c r="S52" s="32">
        <f t="shared" si="48"/>
        <v>12</v>
      </c>
      <c r="T52" s="32">
        <f t="shared" si="49"/>
        <v>120</v>
      </c>
      <c r="U52" s="59" t="str">
        <f t="shared" si="54"/>
        <v/>
      </c>
      <c r="V52" s="59" t="str">
        <f t="shared" si="54"/>
        <v/>
      </c>
      <c r="W52" s="59" t="str">
        <f t="shared" si="54"/>
        <v/>
      </c>
      <c r="X52" s="59" t="str">
        <f t="shared" si="54"/>
        <v/>
      </c>
      <c r="Y52" s="59" t="str">
        <f t="shared" si="54"/>
        <v/>
      </c>
      <c r="Z52" s="59" t="str">
        <f t="shared" si="54"/>
        <v/>
      </c>
      <c r="AA52" s="59" t="str">
        <f t="shared" si="54"/>
        <v/>
      </c>
      <c r="AB52" s="59" t="str">
        <f t="shared" si="54"/>
        <v/>
      </c>
      <c r="AC52" s="59" t="str">
        <f t="shared" si="54"/>
        <v/>
      </c>
      <c r="AD52" s="59" t="str">
        <f t="shared" si="54"/>
        <v/>
      </c>
      <c r="AE52" s="59" t="str">
        <f t="shared" si="55"/>
        <v/>
      </c>
      <c r="AF52" s="59" t="str">
        <f t="shared" si="55"/>
        <v>X</v>
      </c>
      <c r="AG52" s="59" t="str">
        <f t="shared" si="55"/>
        <v/>
      </c>
      <c r="AH52" s="67" t="str">
        <f t="shared" si="55"/>
        <v/>
      </c>
      <c r="AI52" s="67" t="str">
        <f t="shared" si="55"/>
        <v/>
      </c>
      <c r="AJ52" s="67" t="str">
        <f t="shared" si="55"/>
        <v/>
      </c>
      <c r="AK52" s="67" t="str">
        <f t="shared" si="55"/>
        <v/>
      </c>
      <c r="AL52" s="67" t="str">
        <f t="shared" si="55"/>
        <v/>
      </c>
      <c r="AM52" s="67" t="str">
        <f t="shared" si="55"/>
        <v/>
      </c>
      <c r="AN52" s="67" t="str">
        <f t="shared" si="55"/>
        <v/>
      </c>
      <c r="AO52" s="67" t="str">
        <f t="shared" si="56"/>
        <v/>
      </c>
      <c r="AP52" s="67" t="str">
        <f t="shared" si="56"/>
        <v/>
      </c>
      <c r="AQ52" s="67" t="s">
        <v>202</v>
      </c>
      <c r="AR52" s="67"/>
      <c r="AS52" s="67" t="str">
        <f t="shared" si="56"/>
        <v/>
      </c>
      <c r="AT52" s="67" t="str">
        <f t="shared" si="56"/>
        <v/>
      </c>
      <c r="AU52" s="68" t="str">
        <f t="shared" si="56"/>
        <v/>
      </c>
      <c r="AV52" s="68" t="str">
        <f t="shared" si="56"/>
        <v/>
      </c>
      <c r="AW52" s="68" t="str">
        <f t="shared" si="56"/>
        <v/>
      </c>
      <c r="AX52" s="68" t="str">
        <f t="shared" si="56"/>
        <v/>
      </c>
      <c r="AY52" s="68" t="str">
        <f t="shared" si="56"/>
        <v/>
      </c>
      <c r="AZ52" s="68" t="str">
        <f t="shared" si="56"/>
        <v/>
      </c>
      <c r="BA52" s="68" t="str">
        <f t="shared" si="56"/>
        <v/>
      </c>
      <c r="CH52" s="60"/>
      <c r="CI52" s="60"/>
    </row>
    <row r="53" spans="1:87" s="46" customFormat="1" ht="21" customHeight="1">
      <c r="A53" s="44">
        <v>2</v>
      </c>
      <c r="B53" s="58">
        <v>5303099</v>
      </c>
      <c r="C53" s="27" t="s">
        <v>64</v>
      </c>
      <c r="D53" s="78" t="s">
        <v>52</v>
      </c>
      <c r="E53" s="64">
        <v>11</v>
      </c>
      <c r="F53" s="30">
        <f>VLOOKUP(B53,'Estampados por manguera'!A$2:B$500,2,FALSE)</f>
        <v>1</v>
      </c>
      <c r="G53" s="30">
        <f t="shared" si="40"/>
        <v>11</v>
      </c>
      <c r="H53" s="82">
        <v>6</v>
      </c>
      <c r="I53" s="30">
        <f t="shared" si="41"/>
        <v>66</v>
      </c>
      <c r="J53" s="32">
        <f t="shared" si="42"/>
        <v>180</v>
      </c>
      <c r="K53" s="30">
        <f t="shared" si="43"/>
        <v>246</v>
      </c>
      <c r="L53" s="32">
        <v>1200</v>
      </c>
      <c r="M53" s="30">
        <f>VLOOKUP(B53,'Mangueras por contenedor'!A$2:B$500,2,FALSE)</f>
        <v>30</v>
      </c>
      <c r="N53" s="45">
        <f t="shared" si="44"/>
        <v>0.36666666666666664</v>
      </c>
      <c r="O53" s="11">
        <f t="shared" si="53"/>
        <v>3</v>
      </c>
      <c r="P53" s="32">
        <f t="shared" si="45"/>
        <v>180</v>
      </c>
      <c r="Q53" s="32">
        <f t="shared" si="46"/>
        <v>4</v>
      </c>
      <c r="R53" s="32">
        <f t="shared" si="47"/>
        <v>720</v>
      </c>
      <c r="S53" s="32">
        <f t="shared" si="48"/>
        <v>12</v>
      </c>
      <c r="T53" s="32">
        <f t="shared" si="49"/>
        <v>120</v>
      </c>
      <c r="U53" s="59" t="str">
        <f t="shared" si="54"/>
        <v/>
      </c>
      <c r="V53" s="59" t="str">
        <f t="shared" si="54"/>
        <v/>
      </c>
      <c r="W53" s="59" t="str">
        <f t="shared" si="54"/>
        <v/>
      </c>
      <c r="X53" s="59" t="str">
        <f t="shared" si="54"/>
        <v/>
      </c>
      <c r="Y53" s="59" t="str">
        <f t="shared" si="54"/>
        <v/>
      </c>
      <c r="Z53" s="59" t="str">
        <f t="shared" si="54"/>
        <v/>
      </c>
      <c r="AA53" s="59" t="str">
        <f t="shared" si="54"/>
        <v/>
      </c>
      <c r="AB53" s="59" t="str">
        <f t="shared" si="54"/>
        <v/>
      </c>
      <c r="AC53" s="59" t="str">
        <f t="shared" si="54"/>
        <v/>
      </c>
      <c r="AD53" s="59" t="str">
        <f t="shared" si="54"/>
        <v/>
      </c>
      <c r="AE53" s="59" t="s">
        <v>202</v>
      </c>
      <c r="AF53" s="59"/>
      <c r="AG53" s="59" t="str">
        <f t="shared" si="55"/>
        <v/>
      </c>
      <c r="AH53" s="67" t="str">
        <f t="shared" si="55"/>
        <v/>
      </c>
      <c r="AI53" s="67" t="str">
        <f t="shared" si="55"/>
        <v/>
      </c>
      <c r="AJ53" s="67" t="str">
        <f t="shared" si="55"/>
        <v/>
      </c>
      <c r="AK53" s="67" t="str">
        <f t="shared" si="55"/>
        <v/>
      </c>
      <c r="AL53" s="67" t="str">
        <f t="shared" si="55"/>
        <v/>
      </c>
      <c r="AM53" s="67" t="str">
        <f t="shared" si="55"/>
        <v/>
      </c>
      <c r="AN53" s="67" t="str">
        <f t="shared" si="55"/>
        <v/>
      </c>
      <c r="AO53" s="67" t="str">
        <f t="shared" si="56"/>
        <v/>
      </c>
      <c r="AP53" s="67" t="str">
        <f t="shared" si="56"/>
        <v/>
      </c>
      <c r="AQ53" s="67" t="s">
        <v>202</v>
      </c>
      <c r="AR53" s="67"/>
      <c r="AS53" s="67" t="str">
        <f t="shared" si="56"/>
        <v/>
      </c>
      <c r="AT53" s="67" t="str">
        <f t="shared" si="56"/>
        <v/>
      </c>
      <c r="AU53" s="68" t="str">
        <f t="shared" si="56"/>
        <v/>
      </c>
      <c r="AV53" s="68" t="str">
        <f t="shared" si="56"/>
        <v/>
      </c>
      <c r="AW53" s="68" t="str">
        <f t="shared" si="56"/>
        <v/>
      </c>
      <c r="AX53" s="68" t="str">
        <f t="shared" si="56"/>
        <v/>
      </c>
      <c r="AY53" s="68" t="str">
        <f t="shared" si="56"/>
        <v/>
      </c>
      <c r="AZ53" s="68" t="str">
        <f t="shared" si="56"/>
        <v/>
      </c>
      <c r="BA53" s="68" t="str">
        <f t="shared" si="56"/>
        <v/>
      </c>
      <c r="CH53" s="60"/>
      <c r="CI53" s="60"/>
    </row>
    <row r="54" spans="1:87" s="46" customFormat="1" ht="21" customHeight="1">
      <c r="A54" s="44">
        <v>2</v>
      </c>
      <c r="B54" s="58">
        <v>5303149</v>
      </c>
      <c r="C54" s="27" t="s">
        <v>4</v>
      </c>
      <c r="D54" s="78" t="s">
        <v>52</v>
      </c>
      <c r="E54" s="64">
        <v>11</v>
      </c>
      <c r="F54" s="30">
        <f>VLOOKUP(B54,'Estampados por manguera'!A$2:B$500,2,FALSE)</f>
        <v>1</v>
      </c>
      <c r="G54" s="30">
        <f t="shared" si="40"/>
        <v>11</v>
      </c>
      <c r="H54" s="82">
        <v>6</v>
      </c>
      <c r="I54" s="32">
        <f t="shared" si="41"/>
        <v>66</v>
      </c>
      <c r="J54" s="32">
        <f t="shared" si="42"/>
        <v>180</v>
      </c>
      <c r="K54" s="30">
        <f t="shared" si="43"/>
        <v>246</v>
      </c>
      <c r="L54" s="32">
        <v>1200</v>
      </c>
      <c r="M54" s="30">
        <f>VLOOKUP(B54,'Mangueras por contenedor'!A$2:B$500,2,FALSE)</f>
        <v>42</v>
      </c>
      <c r="N54" s="45">
        <f t="shared" si="44"/>
        <v>0.26190476190476192</v>
      </c>
      <c r="O54" s="11">
        <f t="shared" si="53"/>
        <v>4</v>
      </c>
      <c r="P54" s="32">
        <f t="shared" si="45"/>
        <v>252</v>
      </c>
      <c r="Q54" s="32">
        <f t="shared" si="46"/>
        <v>3</v>
      </c>
      <c r="R54" s="32">
        <f t="shared" si="47"/>
        <v>756</v>
      </c>
      <c r="S54" s="32">
        <f t="shared" si="48"/>
        <v>12</v>
      </c>
      <c r="T54" s="32">
        <f t="shared" si="49"/>
        <v>126</v>
      </c>
      <c r="U54" s="59" t="str">
        <f t="shared" si="54"/>
        <v/>
      </c>
      <c r="V54" s="59" t="str">
        <f t="shared" si="54"/>
        <v/>
      </c>
      <c r="W54" s="59" t="str">
        <f t="shared" si="54"/>
        <v/>
      </c>
      <c r="X54" s="59" t="str">
        <f t="shared" si="54"/>
        <v/>
      </c>
      <c r="Y54" s="59" t="str">
        <f t="shared" si="54"/>
        <v/>
      </c>
      <c r="Z54" s="59" t="str">
        <f t="shared" si="54"/>
        <v/>
      </c>
      <c r="AA54" s="59" t="str">
        <f t="shared" si="54"/>
        <v/>
      </c>
      <c r="AB54" s="59" t="str">
        <f t="shared" si="54"/>
        <v/>
      </c>
      <c r="AC54" s="59" t="str">
        <f t="shared" si="54"/>
        <v/>
      </c>
      <c r="AD54" s="59" t="str">
        <f t="shared" si="54"/>
        <v/>
      </c>
      <c r="AE54" s="59" t="s">
        <v>202</v>
      </c>
      <c r="AF54" s="59"/>
      <c r="AG54" s="59" t="str">
        <f t="shared" si="55"/>
        <v/>
      </c>
      <c r="AH54" s="67" t="str">
        <f t="shared" si="55"/>
        <v/>
      </c>
      <c r="AI54" s="67" t="str">
        <f t="shared" si="55"/>
        <v/>
      </c>
      <c r="AJ54" s="67" t="str">
        <f t="shared" si="55"/>
        <v/>
      </c>
      <c r="AK54" s="67" t="str">
        <f t="shared" si="55"/>
        <v/>
      </c>
      <c r="AL54" s="67" t="str">
        <f t="shared" si="55"/>
        <v/>
      </c>
      <c r="AM54" s="67" t="str">
        <f t="shared" si="55"/>
        <v/>
      </c>
      <c r="AN54" s="67" t="str">
        <f t="shared" si="55"/>
        <v/>
      </c>
      <c r="AO54" s="67" t="str">
        <f t="shared" si="56"/>
        <v/>
      </c>
      <c r="AP54" s="67" t="str">
        <f t="shared" si="56"/>
        <v/>
      </c>
      <c r="AQ54" s="67" t="s">
        <v>202</v>
      </c>
      <c r="AR54" s="67"/>
      <c r="AS54" s="67" t="str">
        <f t="shared" si="56"/>
        <v/>
      </c>
      <c r="AT54" s="67" t="str">
        <f t="shared" si="56"/>
        <v/>
      </c>
      <c r="AU54" s="68" t="str">
        <f t="shared" si="56"/>
        <v/>
      </c>
      <c r="AV54" s="68" t="str">
        <f t="shared" si="56"/>
        <v/>
      </c>
      <c r="AW54" s="68" t="str">
        <f t="shared" si="56"/>
        <v/>
      </c>
      <c r="AX54" s="68" t="str">
        <f t="shared" si="56"/>
        <v/>
      </c>
      <c r="AY54" s="68" t="str">
        <f t="shared" si="56"/>
        <v/>
      </c>
      <c r="AZ54" s="68" t="str">
        <f t="shared" si="56"/>
        <v/>
      </c>
      <c r="BA54" s="68" t="str">
        <f t="shared" si="56"/>
        <v/>
      </c>
      <c r="CH54" s="60"/>
      <c r="CI54" s="60"/>
    </row>
    <row r="55" spans="1:87" s="46" customFormat="1" ht="21" customHeight="1">
      <c r="A55" s="44">
        <v>2</v>
      </c>
      <c r="B55" s="58">
        <v>5303040</v>
      </c>
      <c r="C55" s="27" t="s">
        <v>63</v>
      </c>
      <c r="D55" s="78" t="s">
        <v>52</v>
      </c>
      <c r="E55" s="64">
        <v>10</v>
      </c>
      <c r="F55" s="30">
        <f>VLOOKUP(B55,'Estampados por manguera'!A$2:B$500,2,FALSE)</f>
        <v>1</v>
      </c>
      <c r="G55" s="30">
        <f t="shared" si="40"/>
        <v>10</v>
      </c>
      <c r="H55" s="82">
        <v>6</v>
      </c>
      <c r="I55" s="30">
        <f t="shared" si="41"/>
        <v>60</v>
      </c>
      <c r="J55" s="32">
        <f t="shared" si="42"/>
        <v>180</v>
      </c>
      <c r="K55" s="30">
        <f t="shared" si="43"/>
        <v>240</v>
      </c>
      <c r="L55" s="32">
        <v>1200</v>
      </c>
      <c r="M55" s="30">
        <f>VLOOKUP(B55,'Mangueras por contenedor'!A$2:B$500,2,FALSE)</f>
        <v>45</v>
      </c>
      <c r="N55" s="45">
        <f t="shared" si="44"/>
        <v>0.22222222222222221</v>
      </c>
      <c r="O55" s="11">
        <f t="shared" si="53"/>
        <v>4</v>
      </c>
      <c r="P55" s="32">
        <f t="shared" si="45"/>
        <v>270</v>
      </c>
      <c r="Q55" s="32">
        <f t="shared" si="46"/>
        <v>3</v>
      </c>
      <c r="R55" s="32">
        <f t="shared" si="47"/>
        <v>810</v>
      </c>
      <c r="S55" s="32">
        <f t="shared" si="48"/>
        <v>12</v>
      </c>
      <c r="T55" s="32">
        <f t="shared" si="49"/>
        <v>135</v>
      </c>
      <c r="U55" s="59" t="str">
        <f t="shared" si="54"/>
        <v/>
      </c>
      <c r="V55" s="59" t="str">
        <f t="shared" si="54"/>
        <v/>
      </c>
      <c r="W55" s="59" t="str">
        <f t="shared" si="54"/>
        <v/>
      </c>
      <c r="X55" s="59" t="str">
        <f t="shared" si="54"/>
        <v/>
      </c>
      <c r="Y55" s="59" t="str">
        <f t="shared" si="54"/>
        <v/>
      </c>
      <c r="Z55" s="59" t="str">
        <f t="shared" si="54"/>
        <v/>
      </c>
      <c r="AA55" s="59" t="str">
        <f t="shared" si="54"/>
        <v/>
      </c>
      <c r="AB55" s="59" t="str">
        <f t="shared" si="54"/>
        <v/>
      </c>
      <c r="AC55" s="59" t="str">
        <f t="shared" si="54"/>
        <v/>
      </c>
      <c r="AD55" s="59" t="str">
        <f t="shared" si="54"/>
        <v/>
      </c>
      <c r="AE55" s="59" t="s">
        <v>202</v>
      </c>
      <c r="AF55" s="59"/>
      <c r="AG55" s="59" t="str">
        <f t="shared" si="55"/>
        <v/>
      </c>
      <c r="AH55" s="67" t="str">
        <f t="shared" si="55"/>
        <v/>
      </c>
      <c r="AI55" s="67" t="str">
        <f t="shared" si="55"/>
        <v/>
      </c>
      <c r="AJ55" s="67" t="str">
        <f t="shared" si="55"/>
        <v/>
      </c>
      <c r="AK55" s="67" t="str">
        <f t="shared" si="55"/>
        <v/>
      </c>
      <c r="AL55" s="67" t="str">
        <f t="shared" si="55"/>
        <v/>
      </c>
      <c r="AM55" s="67" t="str">
        <f t="shared" si="55"/>
        <v/>
      </c>
      <c r="AN55" s="67" t="str">
        <f t="shared" si="55"/>
        <v/>
      </c>
      <c r="AO55" s="67" t="str">
        <f t="shared" si="56"/>
        <v/>
      </c>
      <c r="AP55" s="67" t="str">
        <f t="shared" si="56"/>
        <v/>
      </c>
      <c r="AQ55" s="67" t="s">
        <v>202</v>
      </c>
      <c r="AR55" s="67"/>
      <c r="AS55" s="67" t="str">
        <f t="shared" si="56"/>
        <v/>
      </c>
      <c r="AT55" s="67" t="str">
        <f t="shared" si="56"/>
        <v/>
      </c>
      <c r="AU55" s="68" t="str">
        <f t="shared" si="56"/>
        <v/>
      </c>
      <c r="AV55" s="68" t="str">
        <f t="shared" si="56"/>
        <v/>
      </c>
      <c r="AW55" s="68" t="str">
        <f t="shared" si="56"/>
        <v/>
      </c>
      <c r="AX55" s="68" t="str">
        <f t="shared" si="56"/>
        <v/>
      </c>
      <c r="AY55" s="68" t="str">
        <f t="shared" si="56"/>
        <v/>
      </c>
      <c r="AZ55" s="68" t="str">
        <f t="shared" si="56"/>
        <v/>
      </c>
      <c r="BA55" s="68" t="str">
        <f t="shared" si="56"/>
        <v/>
      </c>
      <c r="CH55" s="60"/>
      <c r="CI55" s="60"/>
    </row>
    <row r="56" spans="1:87" s="46" customFormat="1" ht="21" customHeight="1">
      <c r="A56" s="44">
        <v>2</v>
      </c>
      <c r="B56" s="58">
        <v>5301380</v>
      </c>
      <c r="C56" s="27" t="s">
        <v>68</v>
      </c>
      <c r="D56" s="78" t="s">
        <v>51</v>
      </c>
      <c r="E56" s="64">
        <v>8</v>
      </c>
      <c r="F56" s="30">
        <f>VLOOKUP(B56,'Estampados por manguera'!A$2:B$500,2,FALSE)</f>
        <v>3</v>
      </c>
      <c r="G56" s="30">
        <f t="shared" si="40"/>
        <v>24</v>
      </c>
      <c r="H56" s="82">
        <v>6</v>
      </c>
      <c r="I56" s="30">
        <f t="shared" si="41"/>
        <v>144</v>
      </c>
      <c r="J56" s="32">
        <f t="shared" si="42"/>
        <v>180</v>
      </c>
      <c r="K56" s="30">
        <f t="shared" si="43"/>
        <v>324</v>
      </c>
      <c r="L56" s="32">
        <v>1213</v>
      </c>
      <c r="M56" s="30">
        <f>VLOOKUP(B56,'Mangueras por contenedor'!A$2:B$500,2,FALSE)</f>
        <v>120</v>
      </c>
      <c r="N56" s="45">
        <f t="shared" si="44"/>
        <v>6.6666666666666666E-2</v>
      </c>
      <c r="O56" s="11">
        <f t="shared" si="53"/>
        <v>12</v>
      </c>
      <c r="P56" s="32">
        <f t="shared" si="45"/>
        <v>2160</v>
      </c>
      <c r="Q56" s="32">
        <f t="shared" si="46"/>
        <v>1</v>
      </c>
      <c r="R56" s="32">
        <f t="shared" si="47"/>
        <v>2160</v>
      </c>
      <c r="S56" s="32">
        <f t="shared" si="48"/>
        <v>12</v>
      </c>
      <c r="T56" s="32">
        <f t="shared" si="49"/>
        <v>120</v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 t="str">
        <f t="shared" si="54"/>
        <v/>
      </c>
      <c r="AD56" s="59" t="str">
        <f t="shared" si="54"/>
        <v/>
      </c>
      <c r="AE56" s="59" t="s">
        <v>202</v>
      </c>
      <c r="AF56" s="59"/>
      <c r="AG56" s="59" t="str">
        <f t="shared" si="55"/>
        <v/>
      </c>
      <c r="AH56" s="67" t="str">
        <f t="shared" si="55"/>
        <v/>
      </c>
      <c r="AI56" s="67" t="str">
        <f t="shared" si="55"/>
        <v/>
      </c>
      <c r="AJ56" s="67" t="str">
        <f t="shared" si="55"/>
        <v/>
      </c>
      <c r="AK56" s="67" t="str">
        <f t="shared" si="55"/>
        <v/>
      </c>
      <c r="AL56" s="67" t="str">
        <f t="shared" si="55"/>
        <v/>
      </c>
      <c r="AM56" s="67" t="str">
        <f t="shared" si="55"/>
        <v/>
      </c>
      <c r="AN56" s="67" t="str">
        <f t="shared" si="55"/>
        <v/>
      </c>
      <c r="AO56" s="67" t="str">
        <f t="shared" si="56"/>
        <v/>
      </c>
      <c r="AP56" s="67" t="str">
        <f t="shared" si="56"/>
        <v/>
      </c>
      <c r="AQ56" s="67" t="s">
        <v>202</v>
      </c>
      <c r="AR56" s="67"/>
      <c r="AS56" s="67" t="str">
        <f t="shared" si="56"/>
        <v/>
      </c>
      <c r="AT56" s="67" t="str">
        <f t="shared" si="56"/>
        <v/>
      </c>
      <c r="AU56" s="68" t="str">
        <f t="shared" si="56"/>
        <v/>
      </c>
      <c r="AV56" s="68" t="str">
        <f t="shared" si="56"/>
        <v/>
      </c>
      <c r="AW56" s="68" t="str">
        <f t="shared" si="56"/>
        <v/>
      </c>
      <c r="AX56" s="68" t="str">
        <f t="shared" si="56"/>
        <v/>
      </c>
      <c r="AY56" s="68" t="str">
        <f t="shared" si="56"/>
        <v/>
      </c>
      <c r="AZ56" s="68" t="str">
        <f t="shared" si="56"/>
        <v/>
      </c>
      <c r="BA56" s="68" t="str">
        <f t="shared" si="56"/>
        <v/>
      </c>
      <c r="CH56" s="60"/>
      <c r="CI56" s="60"/>
    </row>
    <row r="57" spans="1:87" s="46" customFormat="1" ht="21" customHeight="1">
      <c r="A57" s="44">
        <v>2</v>
      </c>
      <c r="B57" s="58">
        <v>5303042</v>
      </c>
      <c r="C57" s="27" t="s">
        <v>53</v>
      </c>
      <c r="D57" s="78" t="s">
        <v>52</v>
      </c>
      <c r="E57" s="64">
        <v>9</v>
      </c>
      <c r="F57" s="30">
        <f>VLOOKUP(B57,'Estampados por manguera'!A$2:B$500,2,FALSE)</f>
        <v>1</v>
      </c>
      <c r="G57" s="30">
        <f t="shared" si="40"/>
        <v>9</v>
      </c>
      <c r="H57" s="82">
        <v>6</v>
      </c>
      <c r="I57" s="30">
        <f t="shared" si="41"/>
        <v>54</v>
      </c>
      <c r="J57" s="32">
        <f t="shared" si="42"/>
        <v>180</v>
      </c>
      <c r="K57" s="30">
        <f t="shared" si="43"/>
        <v>234</v>
      </c>
      <c r="L57" s="32">
        <v>1200</v>
      </c>
      <c r="M57" s="30">
        <f>VLOOKUP(B57,'Mangueras por contenedor'!A$2:B$500,2,FALSE)</f>
        <v>150</v>
      </c>
      <c r="N57" s="45">
        <f t="shared" si="44"/>
        <v>0.06</v>
      </c>
      <c r="O57" s="11">
        <f t="shared" si="53"/>
        <v>14</v>
      </c>
      <c r="P57" s="32">
        <f t="shared" si="45"/>
        <v>900</v>
      </c>
      <c r="Q57" s="32">
        <f t="shared" si="46"/>
        <v>1</v>
      </c>
      <c r="R57" s="32">
        <f t="shared" si="47"/>
        <v>900</v>
      </c>
      <c r="S57" s="32">
        <f t="shared" si="48"/>
        <v>14</v>
      </c>
      <c r="T57" s="32">
        <f t="shared" si="49"/>
        <v>150</v>
      </c>
      <c r="U57" s="59" t="str">
        <f t="shared" ref="U57:AD66" si="57">IF(OR(U$36/$S57=1,U$36/$S57=2,U$36/$S57=3,U$36/$S57=4,U$36/$S57=5,U$36/$S57=6,U$36/$S57=7,U$36/$S57=8,U$36/$S57=9,U$36/$S57=10,U$36/$S57=11,U$36/$S57=12,U$36/$S57=13,U$36/$S57=14,U$36/$S57=15,U$36/$S57=16,U$36/$S57=17,U$36/$S57=18,U$36/$S57=19,U$36/$S57=20,U$36/$S57=21,U$36/$S57=22,U$36/$S57=23,U$36/$S57=24,U$36/$S57=25,U$36/$S57=26,U$36/$S57=27,U$36/$S57=28,U$36/$S57=29,U$36/$S57=30,U$36/$S57=31,U$36/$S57=32,U$36/$S57=33),"X","")</f>
        <v/>
      </c>
      <c r="V57" s="59" t="str">
        <f t="shared" si="57"/>
        <v/>
      </c>
      <c r="W57" s="59" t="str">
        <f t="shared" si="57"/>
        <v/>
      </c>
      <c r="X57" s="59" t="str">
        <f t="shared" si="57"/>
        <v/>
      </c>
      <c r="Y57" s="59" t="str">
        <f t="shared" si="57"/>
        <v/>
      </c>
      <c r="Z57" s="59" t="str">
        <f t="shared" si="57"/>
        <v/>
      </c>
      <c r="AA57" s="59" t="str">
        <f t="shared" si="57"/>
        <v/>
      </c>
      <c r="AB57" s="59" t="str">
        <f t="shared" si="57"/>
        <v/>
      </c>
      <c r="AC57" s="59" t="str">
        <f t="shared" si="57"/>
        <v/>
      </c>
      <c r="AD57" s="59" t="str">
        <f t="shared" si="57"/>
        <v/>
      </c>
      <c r="AE57" s="59" t="str">
        <f t="shared" ref="AE57:AN66" si="58">IF(OR(AE$36/$S57=1,AE$36/$S57=2,AE$36/$S57=3,AE$36/$S57=4,AE$36/$S57=5,AE$36/$S57=6,AE$36/$S57=7,AE$36/$S57=8,AE$36/$S57=9,AE$36/$S57=10,AE$36/$S57=11,AE$36/$S57=12,AE$36/$S57=13,AE$36/$S57=14,AE$36/$S57=15,AE$36/$S57=16,AE$36/$S57=17,AE$36/$S57=18,AE$36/$S57=19,AE$36/$S57=20,AE$36/$S57=21,AE$36/$S57=22,AE$36/$S57=23,AE$36/$S57=24,AE$36/$S57=25,AE$36/$S57=26,AE$36/$S57=27,AE$36/$S57=28,AE$36/$S57=29,AE$36/$S57=30,AE$36/$S57=31,AE$36/$S57=32,AE$36/$S57=33),"X","")</f>
        <v/>
      </c>
      <c r="AF57" s="59" t="str">
        <f t="shared" si="58"/>
        <v/>
      </c>
      <c r="AG57" s="59" t="str">
        <f t="shared" si="58"/>
        <v/>
      </c>
      <c r="AH57" s="67" t="str">
        <f t="shared" si="58"/>
        <v>X</v>
      </c>
      <c r="AI57" s="67" t="str">
        <f t="shared" si="58"/>
        <v/>
      </c>
      <c r="AJ57" s="67" t="str">
        <f t="shared" si="58"/>
        <v/>
      </c>
      <c r="AK57" s="67" t="str">
        <f t="shared" si="58"/>
        <v/>
      </c>
      <c r="AL57" s="67" t="str">
        <f t="shared" si="58"/>
        <v/>
      </c>
      <c r="AM57" s="67" t="str">
        <f t="shared" si="58"/>
        <v/>
      </c>
      <c r="AN57" s="67" t="str">
        <f t="shared" si="58"/>
        <v/>
      </c>
      <c r="AO57" s="67" t="str">
        <f t="shared" ref="AO57:BA66" si="59">IF(OR(AO$36/$S57=1,AO$36/$S57=2,AO$36/$S57=3,AO$36/$S57=4,AO$36/$S57=5,AO$36/$S57=6,AO$36/$S57=7,AO$36/$S57=8,AO$36/$S57=9,AO$36/$S57=10,AO$36/$S57=11,AO$36/$S57=12,AO$36/$S57=13,AO$36/$S57=14,AO$36/$S57=15,AO$36/$S57=16,AO$36/$S57=17,AO$36/$S57=18,AO$36/$S57=19,AO$36/$S57=20,AO$36/$S57=21,AO$36/$S57=22,AO$36/$S57=23,AO$36/$S57=24,AO$36/$S57=25,AO$36/$S57=26,AO$36/$S57=27,AO$36/$S57=28,AO$36/$S57=29,AO$36/$S57=30,AO$36/$S57=31,AO$36/$S57=32,AO$36/$S57=33),"X","")</f>
        <v/>
      </c>
      <c r="AP57" s="67" t="str">
        <f t="shared" si="59"/>
        <v/>
      </c>
      <c r="AQ57" s="67" t="str">
        <f t="shared" si="59"/>
        <v/>
      </c>
      <c r="AR57" s="67" t="str">
        <f t="shared" si="59"/>
        <v/>
      </c>
      <c r="AS57" s="67" t="str">
        <f t="shared" si="59"/>
        <v/>
      </c>
      <c r="AT57" s="67" t="str">
        <f t="shared" si="59"/>
        <v/>
      </c>
      <c r="AU57" s="68" t="str">
        <f t="shared" si="59"/>
        <v/>
      </c>
      <c r="AV57" s="68" t="str">
        <f t="shared" si="59"/>
        <v>X</v>
      </c>
      <c r="AW57" s="68" t="str">
        <f t="shared" si="59"/>
        <v/>
      </c>
      <c r="AX57" s="68" t="str">
        <f t="shared" si="59"/>
        <v/>
      </c>
      <c r="AY57" s="68" t="str">
        <f t="shared" si="59"/>
        <v/>
      </c>
      <c r="AZ57" s="68" t="str">
        <f t="shared" si="59"/>
        <v/>
      </c>
      <c r="BA57" s="68" t="str">
        <f t="shared" si="59"/>
        <v/>
      </c>
      <c r="CH57" s="60"/>
      <c r="CI57" s="60"/>
    </row>
    <row r="58" spans="1:87" s="46" customFormat="1" ht="21" customHeight="1">
      <c r="A58" s="44">
        <v>2</v>
      </c>
      <c r="B58" s="58">
        <v>5303150</v>
      </c>
      <c r="C58" s="27" t="s">
        <v>58</v>
      </c>
      <c r="D58" s="78" t="s">
        <v>52</v>
      </c>
      <c r="E58" s="64">
        <v>5</v>
      </c>
      <c r="F58" s="30">
        <f>VLOOKUP(B58,'Estampados por manguera'!A$2:B$500,2,FALSE)</f>
        <v>1</v>
      </c>
      <c r="G58" s="30">
        <f t="shared" si="40"/>
        <v>5</v>
      </c>
      <c r="H58" s="82">
        <v>6</v>
      </c>
      <c r="I58" s="32">
        <f t="shared" si="41"/>
        <v>30</v>
      </c>
      <c r="J58" s="32">
        <f t="shared" si="42"/>
        <v>180</v>
      </c>
      <c r="K58" s="30">
        <f t="shared" si="43"/>
        <v>210</v>
      </c>
      <c r="L58" s="32">
        <v>1200</v>
      </c>
      <c r="M58" s="30">
        <f>VLOOKUP(B58,'Mangueras por contenedor'!A$2:B$500,2,FALSE)</f>
        <v>30</v>
      </c>
      <c r="N58" s="45">
        <f t="shared" si="44"/>
        <v>0.16666666666666666</v>
      </c>
      <c r="O58" s="11">
        <f t="shared" si="53"/>
        <v>5</v>
      </c>
      <c r="P58" s="32">
        <f t="shared" si="45"/>
        <v>180</v>
      </c>
      <c r="Q58" s="32">
        <f t="shared" si="46"/>
        <v>4</v>
      </c>
      <c r="R58" s="32">
        <f t="shared" si="47"/>
        <v>720</v>
      </c>
      <c r="S58" s="32">
        <f t="shared" si="48"/>
        <v>20</v>
      </c>
      <c r="T58" s="32">
        <f t="shared" si="49"/>
        <v>120</v>
      </c>
      <c r="U58" s="59" t="str">
        <f t="shared" si="57"/>
        <v/>
      </c>
      <c r="V58" s="59" t="str">
        <f t="shared" si="57"/>
        <v/>
      </c>
      <c r="W58" s="59" t="str">
        <f t="shared" si="57"/>
        <v/>
      </c>
      <c r="X58" s="59" t="str">
        <f t="shared" si="57"/>
        <v/>
      </c>
      <c r="Y58" s="59" t="str">
        <f t="shared" si="57"/>
        <v/>
      </c>
      <c r="Z58" s="59" t="str">
        <f t="shared" si="57"/>
        <v/>
      </c>
      <c r="AA58" s="59" t="str">
        <f t="shared" si="57"/>
        <v/>
      </c>
      <c r="AB58" s="59" t="str">
        <f t="shared" si="57"/>
        <v/>
      </c>
      <c r="AC58" s="59" t="str">
        <f t="shared" si="57"/>
        <v/>
      </c>
      <c r="AD58" s="59" t="str">
        <f t="shared" si="57"/>
        <v/>
      </c>
      <c r="AE58" s="59" t="str">
        <f t="shared" si="58"/>
        <v/>
      </c>
      <c r="AF58" s="59" t="str">
        <f t="shared" si="58"/>
        <v/>
      </c>
      <c r="AG58" s="59" t="str">
        <f t="shared" si="58"/>
        <v/>
      </c>
      <c r="AH58" s="67" t="str">
        <f t="shared" si="58"/>
        <v/>
      </c>
      <c r="AI58" s="67" t="str">
        <f t="shared" si="58"/>
        <v/>
      </c>
      <c r="AJ58" s="67" t="str">
        <f t="shared" si="58"/>
        <v/>
      </c>
      <c r="AK58" s="67" t="str">
        <f t="shared" si="58"/>
        <v/>
      </c>
      <c r="AL58" s="67" t="str">
        <f t="shared" si="58"/>
        <v/>
      </c>
      <c r="AM58" s="67" t="s">
        <v>202</v>
      </c>
      <c r="AN58" s="67"/>
      <c r="AO58" s="67" t="str">
        <f t="shared" si="59"/>
        <v/>
      </c>
      <c r="AP58" s="67" t="str">
        <f t="shared" si="59"/>
        <v/>
      </c>
      <c r="AQ58" s="67" t="str">
        <f t="shared" si="59"/>
        <v/>
      </c>
      <c r="AR58" s="67" t="str">
        <f t="shared" si="59"/>
        <v/>
      </c>
      <c r="AS58" s="67" t="str">
        <f t="shared" si="59"/>
        <v/>
      </c>
      <c r="AT58" s="67" t="str">
        <f t="shared" si="59"/>
        <v/>
      </c>
      <c r="AU58" s="68" t="str">
        <f t="shared" si="59"/>
        <v/>
      </c>
      <c r="AV58" s="68" t="str">
        <f t="shared" si="59"/>
        <v/>
      </c>
      <c r="AW58" s="68" t="str">
        <f t="shared" si="59"/>
        <v/>
      </c>
      <c r="AX58" s="68" t="str">
        <f t="shared" si="59"/>
        <v/>
      </c>
      <c r="AY58" s="68" t="str">
        <f t="shared" si="59"/>
        <v/>
      </c>
      <c r="AZ58" s="68" t="str">
        <f t="shared" si="59"/>
        <v/>
      </c>
      <c r="BA58" s="68" t="str">
        <f t="shared" si="59"/>
        <v/>
      </c>
      <c r="CH58" s="60"/>
      <c r="CI58" s="60"/>
    </row>
    <row r="59" spans="1:87" s="46" customFormat="1" ht="21" customHeight="1">
      <c r="A59" s="44">
        <v>2</v>
      </c>
      <c r="B59" s="58">
        <v>5303106</v>
      </c>
      <c r="C59" s="27" t="s">
        <v>57</v>
      </c>
      <c r="D59" s="78" t="s">
        <v>52</v>
      </c>
      <c r="E59" s="64">
        <v>11</v>
      </c>
      <c r="F59" s="30">
        <f>VLOOKUP(B59,'Estampados por manguera'!A$2:B$500,2,FALSE)</f>
        <v>1</v>
      </c>
      <c r="G59" s="30">
        <f t="shared" si="40"/>
        <v>11</v>
      </c>
      <c r="H59" s="82">
        <v>6</v>
      </c>
      <c r="I59" s="30">
        <f t="shared" si="41"/>
        <v>66</v>
      </c>
      <c r="J59" s="32">
        <f t="shared" si="42"/>
        <v>180</v>
      </c>
      <c r="K59" s="30">
        <f t="shared" si="43"/>
        <v>246</v>
      </c>
      <c r="L59" s="32">
        <v>1200</v>
      </c>
      <c r="M59" s="30">
        <f>VLOOKUP(B59,'Mangueras por contenedor'!A$2:B$500,2,FALSE)</f>
        <v>300</v>
      </c>
      <c r="N59" s="45">
        <f t="shared" si="44"/>
        <v>3.6666666666666667E-2</v>
      </c>
      <c r="O59" s="11">
        <f t="shared" si="53"/>
        <v>22</v>
      </c>
      <c r="P59" s="32">
        <f t="shared" si="45"/>
        <v>1800</v>
      </c>
      <c r="Q59" s="32">
        <f t="shared" si="46"/>
        <v>1</v>
      </c>
      <c r="R59" s="32">
        <f t="shared" si="47"/>
        <v>1800</v>
      </c>
      <c r="S59" s="32">
        <f t="shared" si="48"/>
        <v>22</v>
      </c>
      <c r="T59" s="32">
        <f t="shared" si="49"/>
        <v>300</v>
      </c>
      <c r="U59" s="59" t="str">
        <f t="shared" si="57"/>
        <v/>
      </c>
      <c r="V59" s="59" t="str">
        <f t="shared" si="57"/>
        <v/>
      </c>
      <c r="W59" s="59" t="str">
        <f t="shared" si="57"/>
        <v/>
      </c>
      <c r="X59" s="59" t="str">
        <f t="shared" si="57"/>
        <v/>
      </c>
      <c r="Y59" s="59" t="str">
        <f t="shared" si="57"/>
        <v/>
      </c>
      <c r="Z59" s="59" t="str">
        <f t="shared" si="57"/>
        <v/>
      </c>
      <c r="AA59" s="59" t="str">
        <f t="shared" si="57"/>
        <v/>
      </c>
      <c r="AB59" s="59" t="str">
        <f t="shared" si="57"/>
        <v/>
      </c>
      <c r="AC59" s="59" t="str">
        <f t="shared" si="57"/>
        <v/>
      </c>
      <c r="AD59" s="59" t="str">
        <f t="shared" si="57"/>
        <v/>
      </c>
      <c r="AE59" s="59" t="str">
        <f t="shared" si="58"/>
        <v/>
      </c>
      <c r="AF59" s="59" t="str">
        <f t="shared" si="58"/>
        <v/>
      </c>
      <c r="AG59" s="59" t="str">
        <f t="shared" si="58"/>
        <v/>
      </c>
      <c r="AH59" s="67" t="str">
        <f t="shared" si="58"/>
        <v/>
      </c>
      <c r="AI59" s="67" t="str">
        <f t="shared" si="58"/>
        <v/>
      </c>
      <c r="AJ59" s="67" t="str">
        <f t="shared" si="58"/>
        <v/>
      </c>
      <c r="AK59" s="67" t="str">
        <f t="shared" si="58"/>
        <v/>
      </c>
      <c r="AL59" s="67" t="str">
        <f t="shared" si="58"/>
        <v/>
      </c>
      <c r="AM59" s="67" t="str">
        <f t="shared" si="58"/>
        <v/>
      </c>
      <c r="AN59" s="67" t="str">
        <f t="shared" si="58"/>
        <v/>
      </c>
      <c r="AO59" s="67" t="str">
        <f t="shared" si="59"/>
        <v/>
      </c>
      <c r="AP59" s="67" t="str">
        <f t="shared" si="59"/>
        <v>X</v>
      </c>
      <c r="AQ59" s="67" t="str">
        <f t="shared" si="59"/>
        <v/>
      </c>
      <c r="AR59" s="67" t="str">
        <f t="shared" si="59"/>
        <v/>
      </c>
      <c r="AS59" s="67" t="str">
        <f t="shared" si="59"/>
        <v/>
      </c>
      <c r="AT59" s="67" t="str">
        <f t="shared" si="59"/>
        <v/>
      </c>
      <c r="AU59" s="68" t="str">
        <f t="shared" si="59"/>
        <v/>
      </c>
      <c r="AV59" s="68" t="str">
        <f t="shared" si="59"/>
        <v/>
      </c>
      <c r="AW59" s="68" t="str">
        <f t="shared" si="59"/>
        <v/>
      </c>
      <c r="AX59" s="68" t="str">
        <f t="shared" si="59"/>
        <v/>
      </c>
      <c r="AY59" s="68" t="str">
        <f t="shared" si="59"/>
        <v/>
      </c>
      <c r="AZ59" s="68" t="str">
        <f t="shared" si="59"/>
        <v/>
      </c>
      <c r="BA59" s="68" t="str">
        <f t="shared" si="59"/>
        <v/>
      </c>
      <c r="CH59" s="60"/>
      <c r="CI59" s="60"/>
    </row>
    <row r="60" spans="1:87" s="46" customFormat="1" ht="21" customHeight="1">
      <c r="A60" s="44">
        <v>2</v>
      </c>
      <c r="B60" s="58">
        <v>5303033</v>
      </c>
      <c r="C60" s="27" t="s">
        <v>61</v>
      </c>
      <c r="D60" s="78" t="s">
        <v>52</v>
      </c>
      <c r="E60" s="64">
        <v>11</v>
      </c>
      <c r="F60" s="30">
        <f>VLOOKUP(B60,'Estampados por manguera'!A$2:B$500,2,FALSE)</f>
        <v>1</v>
      </c>
      <c r="G60" s="30">
        <f t="shared" si="40"/>
        <v>11</v>
      </c>
      <c r="H60" s="82">
        <v>6</v>
      </c>
      <c r="I60" s="32">
        <f t="shared" si="41"/>
        <v>66</v>
      </c>
      <c r="J60" s="32">
        <f t="shared" si="42"/>
        <v>180</v>
      </c>
      <c r="K60" s="30">
        <f t="shared" si="43"/>
        <v>246</v>
      </c>
      <c r="L60" s="32">
        <v>1200</v>
      </c>
      <c r="M60" s="30">
        <f>VLOOKUP(B60,'Mangueras por contenedor'!A$2:B$500,2,FALSE)</f>
        <v>300</v>
      </c>
      <c r="N60" s="45">
        <f t="shared" si="44"/>
        <v>3.6666666666666667E-2</v>
      </c>
      <c r="O60" s="11">
        <f t="shared" si="53"/>
        <v>22</v>
      </c>
      <c r="P60" s="32">
        <f t="shared" si="45"/>
        <v>1800</v>
      </c>
      <c r="Q60" s="32">
        <f t="shared" si="46"/>
        <v>1</v>
      </c>
      <c r="R60" s="32">
        <f t="shared" si="47"/>
        <v>1800</v>
      </c>
      <c r="S60" s="32">
        <f t="shared" si="48"/>
        <v>22</v>
      </c>
      <c r="T60" s="32">
        <f t="shared" si="49"/>
        <v>300</v>
      </c>
      <c r="U60" s="59" t="str">
        <f t="shared" si="57"/>
        <v/>
      </c>
      <c r="V60" s="59" t="str">
        <f t="shared" si="57"/>
        <v/>
      </c>
      <c r="W60" s="59" t="str">
        <f t="shared" si="57"/>
        <v/>
      </c>
      <c r="X60" s="59" t="str">
        <f t="shared" si="57"/>
        <v/>
      </c>
      <c r="Y60" s="59" t="str">
        <f t="shared" si="57"/>
        <v/>
      </c>
      <c r="Z60" s="59" t="str">
        <f t="shared" si="57"/>
        <v/>
      </c>
      <c r="AA60" s="59" t="str">
        <f t="shared" si="57"/>
        <v/>
      </c>
      <c r="AB60" s="59" t="str">
        <f t="shared" si="57"/>
        <v/>
      </c>
      <c r="AC60" s="59" t="str">
        <f t="shared" si="57"/>
        <v/>
      </c>
      <c r="AD60" s="59" t="str">
        <f t="shared" si="57"/>
        <v/>
      </c>
      <c r="AE60" s="59" t="str">
        <f t="shared" si="58"/>
        <v/>
      </c>
      <c r="AF60" s="59" t="str">
        <f t="shared" si="58"/>
        <v/>
      </c>
      <c r="AG60" s="59" t="str">
        <f t="shared" si="58"/>
        <v/>
      </c>
      <c r="AH60" s="67" t="str">
        <f t="shared" si="58"/>
        <v/>
      </c>
      <c r="AI60" s="67" t="str">
        <f t="shared" si="58"/>
        <v/>
      </c>
      <c r="AJ60" s="67" t="str">
        <f t="shared" si="58"/>
        <v/>
      </c>
      <c r="AK60" s="67" t="str">
        <f t="shared" si="58"/>
        <v/>
      </c>
      <c r="AL60" s="67" t="str">
        <f t="shared" si="58"/>
        <v/>
      </c>
      <c r="AM60" s="67" t="str">
        <f t="shared" si="58"/>
        <v/>
      </c>
      <c r="AN60" s="67" t="str">
        <f t="shared" si="58"/>
        <v/>
      </c>
      <c r="AO60" s="67" t="str">
        <f t="shared" si="59"/>
        <v/>
      </c>
      <c r="AP60" s="67" t="str">
        <f t="shared" si="59"/>
        <v>X</v>
      </c>
      <c r="AQ60" s="67" t="str">
        <f t="shared" si="59"/>
        <v/>
      </c>
      <c r="AR60" s="67" t="str">
        <f t="shared" si="59"/>
        <v/>
      </c>
      <c r="AS60" s="67" t="str">
        <f t="shared" si="59"/>
        <v/>
      </c>
      <c r="AT60" s="67" t="str">
        <f t="shared" si="59"/>
        <v/>
      </c>
      <c r="AU60" s="68" t="str">
        <f t="shared" si="59"/>
        <v/>
      </c>
      <c r="AV60" s="68" t="str">
        <f t="shared" si="59"/>
        <v/>
      </c>
      <c r="AW60" s="68" t="str">
        <f t="shared" si="59"/>
        <v/>
      </c>
      <c r="AX60" s="68" t="str">
        <f t="shared" si="59"/>
        <v/>
      </c>
      <c r="AY60" s="68" t="str">
        <f t="shared" si="59"/>
        <v/>
      </c>
      <c r="AZ60" s="68" t="str">
        <f t="shared" si="59"/>
        <v/>
      </c>
      <c r="BA60" s="68" t="str">
        <f t="shared" si="59"/>
        <v/>
      </c>
      <c r="CH60" s="60"/>
      <c r="CI60" s="60"/>
    </row>
    <row r="61" spans="1:87" s="46" customFormat="1" ht="21" customHeight="1">
      <c r="A61" s="44">
        <v>2</v>
      </c>
      <c r="B61" s="58">
        <v>5303036</v>
      </c>
      <c r="C61" s="27" t="s">
        <v>62</v>
      </c>
      <c r="D61" s="78" t="s">
        <v>52</v>
      </c>
      <c r="E61" s="64">
        <v>10</v>
      </c>
      <c r="F61" s="30">
        <f>VLOOKUP(B61,'Estampados por manguera'!A$2:B$500,2,FALSE)</f>
        <v>1</v>
      </c>
      <c r="G61" s="30">
        <f t="shared" si="40"/>
        <v>10</v>
      </c>
      <c r="H61" s="82">
        <v>6</v>
      </c>
      <c r="I61" s="30">
        <f t="shared" si="41"/>
        <v>60</v>
      </c>
      <c r="J61" s="32">
        <f t="shared" si="42"/>
        <v>180</v>
      </c>
      <c r="K61" s="30">
        <f t="shared" si="43"/>
        <v>240</v>
      </c>
      <c r="L61" s="32">
        <v>1200</v>
      </c>
      <c r="M61" s="30">
        <f>VLOOKUP(B61,'Mangueras por contenedor'!A$2:B$500,2,FALSE)</f>
        <v>300</v>
      </c>
      <c r="N61" s="45">
        <f t="shared" si="44"/>
        <v>3.3333333333333333E-2</v>
      </c>
      <c r="O61" s="11">
        <f t="shared" si="53"/>
        <v>24</v>
      </c>
      <c r="P61" s="32">
        <f t="shared" si="45"/>
        <v>1800</v>
      </c>
      <c r="Q61" s="32">
        <f t="shared" si="46"/>
        <v>1</v>
      </c>
      <c r="R61" s="32">
        <f t="shared" si="47"/>
        <v>1800</v>
      </c>
      <c r="S61" s="32">
        <f t="shared" si="48"/>
        <v>24</v>
      </c>
      <c r="T61" s="32">
        <f t="shared" si="49"/>
        <v>300</v>
      </c>
      <c r="U61" s="59" t="str">
        <f t="shared" si="57"/>
        <v/>
      </c>
      <c r="V61" s="59" t="str">
        <f t="shared" si="57"/>
        <v/>
      </c>
      <c r="W61" s="59" t="str">
        <f t="shared" si="57"/>
        <v/>
      </c>
      <c r="X61" s="59" t="str">
        <f t="shared" si="57"/>
        <v/>
      </c>
      <c r="Y61" s="59" t="str">
        <f t="shared" si="57"/>
        <v/>
      </c>
      <c r="Z61" s="59" t="str">
        <f t="shared" si="57"/>
        <v/>
      </c>
      <c r="AA61" s="59" t="str">
        <f t="shared" si="57"/>
        <v/>
      </c>
      <c r="AB61" s="59" t="str">
        <f t="shared" si="57"/>
        <v/>
      </c>
      <c r="AC61" s="59" t="str">
        <f t="shared" si="57"/>
        <v/>
      </c>
      <c r="AD61" s="59" t="str">
        <f t="shared" si="57"/>
        <v/>
      </c>
      <c r="AE61" s="59" t="str">
        <f t="shared" si="58"/>
        <v/>
      </c>
      <c r="AF61" s="59" t="str">
        <f t="shared" si="58"/>
        <v/>
      </c>
      <c r="AG61" s="59" t="str">
        <f t="shared" si="58"/>
        <v/>
      </c>
      <c r="AH61" s="67" t="str">
        <f t="shared" si="58"/>
        <v/>
      </c>
      <c r="AI61" s="67" t="str">
        <f t="shared" si="58"/>
        <v/>
      </c>
      <c r="AJ61" s="67" t="str">
        <f t="shared" si="58"/>
        <v/>
      </c>
      <c r="AK61" s="67" t="str">
        <f t="shared" si="58"/>
        <v/>
      </c>
      <c r="AL61" s="67" t="str">
        <f t="shared" si="58"/>
        <v/>
      </c>
      <c r="AM61" s="67" t="str">
        <f t="shared" si="58"/>
        <v/>
      </c>
      <c r="AN61" s="67" t="str">
        <f t="shared" si="58"/>
        <v/>
      </c>
      <c r="AO61" s="67" t="str">
        <f t="shared" si="59"/>
        <v/>
      </c>
      <c r="AP61" s="67" t="str">
        <f t="shared" si="59"/>
        <v/>
      </c>
      <c r="AQ61" s="67" t="s">
        <v>202</v>
      </c>
      <c r="AR61" s="67"/>
      <c r="AS61" s="67" t="str">
        <f t="shared" si="59"/>
        <v/>
      </c>
      <c r="AT61" s="67" t="str">
        <f t="shared" si="59"/>
        <v/>
      </c>
      <c r="AU61" s="68" t="str">
        <f t="shared" si="59"/>
        <v/>
      </c>
      <c r="AV61" s="68" t="str">
        <f t="shared" si="59"/>
        <v/>
      </c>
      <c r="AW61" s="68" t="str">
        <f t="shared" si="59"/>
        <v/>
      </c>
      <c r="AX61" s="68" t="str">
        <f t="shared" si="59"/>
        <v/>
      </c>
      <c r="AY61" s="68" t="str">
        <f t="shared" si="59"/>
        <v/>
      </c>
      <c r="AZ61" s="68" t="str">
        <f t="shared" si="59"/>
        <v/>
      </c>
      <c r="BA61" s="68" t="str">
        <f t="shared" si="59"/>
        <v/>
      </c>
      <c r="CH61" s="60"/>
      <c r="CI61" s="60"/>
    </row>
    <row r="62" spans="1:87" s="46" customFormat="1" ht="21" customHeight="1">
      <c r="A62" s="44">
        <v>2</v>
      </c>
      <c r="B62" s="58">
        <v>5301446</v>
      </c>
      <c r="C62" s="27" t="s">
        <v>18</v>
      </c>
      <c r="D62" s="78" t="s">
        <v>51</v>
      </c>
      <c r="E62" s="64">
        <v>3</v>
      </c>
      <c r="F62" s="30">
        <f>VLOOKUP(B62,'Estampados por manguera'!A$2:B$500,2,FALSE)</f>
        <v>2</v>
      </c>
      <c r="G62" s="30">
        <f t="shared" si="40"/>
        <v>6</v>
      </c>
      <c r="H62" s="82">
        <v>6</v>
      </c>
      <c r="I62" s="30">
        <f t="shared" si="41"/>
        <v>36</v>
      </c>
      <c r="J62" s="32">
        <f t="shared" si="42"/>
        <v>180</v>
      </c>
      <c r="K62" s="30">
        <f t="shared" si="43"/>
        <v>216</v>
      </c>
      <c r="L62" s="32">
        <v>1221</v>
      </c>
      <c r="M62" s="30">
        <f>VLOOKUP(B62,'Mangueras por contenedor'!A$2:B$500,2,FALSE)</f>
        <v>40</v>
      </c>
      <c r="N62" s="45">
        <f t="shared" si="44"/>
        <v>7.4999999999999997E-2</v>
      </c>
      <c r="O62" s="11">
        <f t="shared" si="53"/>
        <v>11</v>
      </c>
      <c r="P62" s="32">
        <f t="shared" si="45"/>
        <v>480</v>
      </c>
      <c r="Q62" s="32">
        <v>2</v>
      </c>
      <c r="R62" s="32">
        <f t="shared" si="47"/>
        <v>960</v>
      </c>
      <c r="S62" s="32">
        <f t="shared" si="48"/>
        <v>22</v>
      </c>
      <c r="T62" s="32">
        <f t="shared" si="49"/>
        <v>80</v>
      </c>
      <c r="U62" s="59" t="str">
        <f t="shared" si="57"/>
        <v/>
      </c>
      <c r="V62" s="59" t="str">
        <f t="shared" si="57"/>
        <v/>
      </c>
      <c r="W62" s="59" t="str">
        <f t="shared" si="57"/>
        <v/>
      </c>
      <c r="X62" s="59" t="str">
        <f t="shared" si="57"/>
        <v/>
      </c>
      <c r="Y62" s="59" t="str">
        <f t="shared" si="57"/>
        <v/>
      </c>
      <c r="Z62" s="59" t="str">
        <f t="shared" si="57"/>
        <v/>
      </c>
      <c r="AA62" s="59" t="str">
        <f t="shared" si="57"/>
        <v/>
      </c>
      <c r="AB62" s="59" t="str">
        <f t="shared" si="57"/>
        <v/>
      </c>
      <c r="AC62" s="59" t="str">
        <f t="shared" si="57"/>
        <v/>
      </c>
      <c r="AD62" s="59" t="str">
        <f t="shared" si="57"/>
        <v/>
      </c>
      <c r="AE62" s="59" t="str">
        <f t="shared" si="58"/>
        <v/>
      </c>
      <c r="AF62" s="59" t="str">
        <f t="shared" si="58"/>
        <v/>
      </c>
      <c r="AG62" s="59" t="str">
        <f t="shared" si="58"/>
        <v/>
      </c>
      <c r="AH62" s="67" t="str">
        <f t="shared" si="58"/>
        <v/>
      </c>
      <c r="AI62" s="67" t="str">
        <f t="shared" si="58"/>
        <v/>
      </c>
      <c r="AJ62" s="67" t="str">
        <f t="shared" si="58"/>
        <v/>
      </c>
      <c r="AK62" s="67" t="str">
        <f t="shared" si="58"/>
        <v/>
      </c>
      <c r="AL62" s="67" t="str">
        <f t="shared" si="58"/>
        <v/>
      </c>
      <c r="AM62" s="67" t="str">
        <f t="shared" si="58"/>
        <v/>
      </c>
      <c r="AN62" s="67" t="str">
        <f t="shared" si="58"/>
        <v/>
      </c>
      <c r="AO62" s="67" t="str">
        <f t="shared" si="59"/>
        <v/>
      </c>
      <c r="AP62" s="67" t="str">
        <f t="shared" si="59"/>
        <v>X</v>
      </c>
      <c r="AQ62" s="67" t="str">
        <f t="shared" si="59"/>
        <v/>
      </c>
      <c r="AR62" s="67" t="str">
        <f t="shared" si="59"/>
        <v/>
      </c>
      <c r="AS62" s="67" t="str">
        <f t="shared" si="59"/>
        <v/>
      </c>
      <c r="AT62" s="67" t="str">
        <f t="shared" si="59"/>
        <v/>
      </c>
      <c r="AU62" s="68" t="str">
        <f t="shared" si="59"/>
        <v/>
      </c>
      <c r="AV62" s="68" t="str">
        <f t="shared" si="59"/>
        <v/>
      </c>
      <c r="AW62" s="68" t="str">
        <f t="shared" si="59"/>
        <v/>
      </c>
      <c r="AX62" s="68" t="str">
        <f t="shared" si="59"/>
        <v/>
      </c>
      <c r="AY62" s="68" t="str">
        <f t="shared" si="59"/>
        <v/>
      </c>
      <c r="AZ62" s="68" t="str">
        <f t="shared" si="59"/>
        <v/>
      </c>
      <c r="BA62" s="68" t="str">
        <f t="shared" si="59"/>
        <v/>
      </c>
      <c r="CH62" s="60"/>
      <c r="CI62" s="60"/>
    </row>
    <row r="63" spans="1:87" s="46" customFormat="1" ht="21" customHeight="1">
      <c r="A63" s="44">
        <v>2</v>
      </c>
      <c r="B63" s="58">
        <v>5301012</v>
      </c>
      <c r="C63" s="27" t="s">
        <v>175</v>
      </c>
      <c r="D63" s="78" t="s">
        <v>51</v>
      </c>
      <c r="E63" s="64">
        <v>2</v>
      </c>
      <c r="F63" s="30">
        <f>VLOOKUP(B63,'Estampados por manguera'!A$2:B$500,2,FALSE)</f>
        <v>1</v>
      </c>
      <c r="G63" s="30">
        <f t="shared" si="40"/>
        <v>2</v>
      </c>
      <c r="H63" s="82">
        <v>6</v>
      </c>
      <c r="I63" s="30">
        <f t="shared" si="41"/>
        <v>12</v>
      </c>
      <c r="J63" s="32">
        <f t="shared" si="42"/>
        <v>180</v>
      </c>
      <c r="K63" s="30">
        <f t="shared" si="43"/>
        <v>192</v>
      </c>
      <c r="L63" s="32">
        <v>1209</v>
      </c>
      <c r="M63" s="30">
        <f>VLOOKUP(B63,'Mangueras por contenedor'!A$2:B$500,2,FALSE)</f>
        <v>35</v>
      </c>
      <c r="N63" s="45">
        <f t="shared" si="44"/>
        <v>5.7142857142857141E-2</v>
      </c>
      <c r="O63" s="11">
        <f t="shared" si="53"/>
        <v>14</v>
      </c>
      <c r="P63" s="32">
        <f t="shared" si="45"/>
        <v>210</v>
      </c>
      <c r="Q63" s="32">
        <v>2</v>
      </c>
      <c r="R63" s="32">
        <f t="shared" si="47"/>
        <v>420</v>
      </c>
      <c r="S63" s="32">
        <f t="shared" si="48"/>
        <v>28</v>
      </c>
      <c r="T63" s="32">
        <f t="shared" si="49"/>
        <v>70</v>
      </c>
      <c r="U63" s="59" t="str">
        <f t="shared" si="57"/>
        <v/>
      </c>
      <c r="V63" s="59" t="str">
        <f t="shared" si="57"/>
        <v/>
      </c>
      <c r="W63" s="59" t="str">
        <f t="shared" si="57"/>
        <v/>
      </c>
      <c r="X63" s="59" t="str">
        <f t="shared" si="57"/>
        <v/>
      </c>
      <c r="Y63" s="59" t="str">
        <f t="shared" si="57"/>
        <v/>
      </c>
      <c r="Z63" s="59" t="str">
        <f t="shared" si="57"/>
        <v/>
      </c>
      <c r="AA63" s="59" t="str">
        <f t="shared" si="57"/>
        <v/>
      </c>
      <c r="AB63" s="59" t="str">
        <f t="shared" si="57"/>
        <v/>
      </c>
      <c r="AC63" s="59" t="str">
        <f t="shared" si="57"/>
        <v/>
      </c>
      <c r="AD63" s="59" t="str">
        <f t="shared" si="57"/>
        <v/>
      </c>
      <c r="AE63" s="59" t="str">
        <f t="shared" si="58"/>
        <v/>
      </c>
      <c r="AF63" s="59" t="str">
        <f t="shared" si="58"/>
        <v/>
      </c>
      <c r="AG63" s="59" t="str">
        <f t="shared" si="58"/>
        <v/>
      </c>
      <c r="AH63" s="67" t="str">
        <f t="shared" si="58"/>
        <v/>
      </c>
      <c r="AI63" s="67" t="str">
        <f t="shared" si="58"/>
        <v/>
      </c>
      <c r="AJ63" s="67" t="str">
        <f t="shared" si="58"/>
        <v/>
      </c>
      <c r="AK63" s="67" t="str">
        <f t="shared" si="58"/>
        <v/>
      </c>
      <c r="AL63" s="67" t="str">
        <f t="shared" si="58"/>
        <v/>
      </c>
      <c r="AM63" s="67" t="str">
        <f t="shared" si="58"/>
        <v/>
      </c>
      <c r="AN63" s="67" t="str">
        <f t="shared" si="58"/>
        <v/>
      </c>
      <c r="AO63" s="67" t="str">
        <f t="shared" si="59"/>
        <v/>
      </c>
      <c r="AP63" s="67" t="str">
        <f t="shared" si="59"/>
        <v/>
      </c>
      <c r="AQ63" s="67" t="str">
        <f t="shared" si="59"/>
        <v/>
      </c>
      <c r="AR63" s="67" t="str">
        <f t="shared" si="59"/>
        <v/>
      </c>
      <c r="AS63" s="67" t="str">
        <f t="shared" si="59"/>
        <v/>
      </c>
      <c r="AT63" s="67" t="str">
        <f t="shared" si="59"/>
        <v/>
      </c>
      <c r="AU63" s="68" t="str">
        <f t="shared" si="59"/>
        <v/>
      </c>
      <c r="AV63" s="68" t="str">
        <f t="shared" si="59"/>
        <v>X</v>
      </c>
      <c r="AW63" s="68" t="str">
        <f t="shared" si="59"/>
        <v/>
      </c>
      <c r="AX63" s="68" t="str">
        <f t="shared" si="59"/>
        <v/>
      </c>
      <c r="AY63" s="68" t="str">
        <f t="shared" si="59"/>
        <v/>
      </c>
      <c r="AZ63" s="68" t="str">
        <f t="shared" si="59"/>
        <v/>
      </c>
      <c r="BA63" s="68" t="str">
        <f t="shared" si="59"/>
        <v/>
      </c>
      <c r="CH63" s="60"/>
      <c r="CI63" s="60"/>
    </row>
    <row r="64" spans="1:87" s="46" customFormat="1" ht="21" customHeight="1">
      <c r="A64" s="44">
        <v>2</v>
      </c>
      <c r="B64" s="58">
        <v>5301013</v>
      </c>
      <c r="C64" s="27" t="s">
        <v>175</v>
      </c>
      <c r="D64" s="78" t="s">
        <v>51</v>
      </c>
      <c r="E64" s="64">
        <v>2</v>
      </c>
      <c r="F64" s="30">
        <f>VLOOKUP(B64,'Estampados por manguera'!A$2:B$500,2,FALSE)</f>
        <v>1</v>
      </c>
      <c r="G64" s="30">
        <f t="shared" si="40"/>
        <v>2</v>
      </c>
      <c r="H64" s="82">
        <v>6</v>
      </c>
      <c r="I64" s="30">
        <f t="shared" si="41"/>
        <v>12</v>
      </c>
      <c r="J64" s="32">
        <f t="shared" si="42"/>
        <v>180</v>
      </c>
      <c r="K64" s="30">
        <f t="shared" si="43"/>
        <v>192</v>
      </c>
      <c r="L64" s="32">
        <v>1210</v>
      </c>
      <c r="M64" s="30">
        <f>VLOOKUP(B64,'Mangueras por contenedor'!A$2:B$500,2,FALSE)</f>
        <v>35</v>
      </c>
      <c r="N64" s="45">
        <f t="shared" si="44"/>
        <v>5.7142857142857141E-2</v>
      </c>
      <c r="O64" s="11">
        <f t="shared" si="53"/>
        <v>14</v>
      </c>
      <c r="P64" s="32">
        <f t="shared" si="45"/>
        <v>210</v>
      </c>
      <c r="Q64" s="32">
        <v>2</v>
      </c>
      <c r="R64" s="32">
        <f t="shared" si="47"/>
        <v>420</v>
      </c>
      <c r="S64" s="32">
        <f t="shared" si="48"/>
        <v>28</v>
      </c>
      <c r="T64" s="32">
        <f t="shared" si="49"/>
        <v>70</v>
      </c>
      <c r="U64" s="59" t="str">
        <f t="shared" si="57"/>
        <v/>
      </c>
      <c r="V64" s="59" t="str">
        <f t="shared" si="57"/>
        <v/>
      </c>
      <c r="W64" s="59" t="str">
        <f t="shared" si="57"/>
        <v/>
      </c>
      <c r="X64" s="59" t="str">
        <f t="shared" si="57"/>
        <v/>
      </c>
      <c r="Y64" s="59" t="str">
        <f t="shared" si="57"/>
        <v/>
      </c>
      <c r="Z64" s="59" t="str">
        <f t="shared" si="57"/>
        <v/>
      </c>
      <c r="AA64" s="59" t="str">
        <f t="shared" si="57"/>
        <v/>
      </c>
      <c r="AB64" s="59" t="str">
        <f t="shared" si="57"/>
        <v/>
      </c>
      <c r="AC64" s="59" t="str">
        <f t="shared" si="57"/>
        <v/>
      </c>
      <c r="AD64" s="59" t="str">
        <f t="shared" si="57"/>
        <v/>
      </c>
      <c r="AE64" s="59" t="str">
        <f t="shared" si="58"/>
        <v/>
      </c>
      <c r="AF64" s="59" t="str">
        <f t="shared" si="58"/>
        <v/>
      </c>
      <c r="AG64" s="59" t="str">
        <f t="shared" si="58"/>
        <v/>
      </c>
      <c r="AH64" s="67" t="str">
        <f t="shared" si="58"/>
        <v/>
      </c>
      <c r="AI64" s="67" t="str">
        <f t="shared" si="58"/>
        <v/>
      </c>
      <c r="AJ64" s="67" t="str">
        <f t="shared" si="58"/>
        <v/>
      </c>
      <c r="AK64" s="67" t="str">
        <f t="shared" si="58"/>
        <v/>
      </c>
      <c r="AL64" s="67" t="str">
        <f t="shared" si="58"/>
        <v/>
      </c>
      <c r="AM64" s="67" t="str">
        <f t="shared" si="58"/>
        <v/>
      </c>
      <c r="AN64" s="67" t="str">
        <f t="shared" si="58"/>
        <v/>
      </c>
      <c r="AO64" s="67" t="str">
        <f t="shared" si="59"/>
        <v/>
      </c>
      <c r="AP64" s="67" t="str">
        <f t="shared" si="59"/>
        <v/>
      </c>
      <c r="AQ64" s="67" t="str">
        <f t="shared" si="59"/>
        <v/>
      </c>
      <c r="AR64" s="67" t="str">
        <f t="shared" si="59"/>
        <v/>
      </c>
      <c r="AS64" s="67" t="str">
        <f t="shared" si="59"/>
        <v/>
      </c>
      <c r="AT64" s="67" t="str">
        <f t="shared" si="59"/>
        <v/>
      </c>
      <c r="AU64" s="68" t="str">
        <f t="shared" si="59"/>
        <v/>
      </c>
      <c r="AV64" s="68" t="str">
        <f t="shared" si="59"/>
        <v>X</v>
      </c>
      <c r="AW64" s="68" t="str">
        <f t="shared" si="59"/>
        <v/>
      </c>
      <c r="AX64" s="68" t="str">
        <f t="shared" si="59"/>
        <v/>
      </c>
      <c r="AY64" s="68" t="str">
        <f t="shared" si="59"/>
        <v/>
      </c>
      <c r="AZ64" s="68" t="str">
        <f t="shared" si="59"/>
        <v/>
      </c>
      <c r="BA64" s="68" t="str">
        <f t="shared" si="59"/>
        <v/>
      </c>
      <c r="CH64" s="60"/>
      <c r="CI64" s="60"/>
    </row>
    <row r="65" spans="1:724" s="46" customFormat="1" ht="21" customHeight="1">
      <c r="A65" s="44">
        <v>2</v>
      </c>
      <c r="B65" s="58">
        <v>5203121</v>
      </c>
      <c r="C65" s="27" t="s">
        <v>189</v>
      </c>
      <c r="D65" s="78" t="s">
        <v>52</v>
      </c>
      <c r="E65" s="64">
        <v>1</v>
      </c>
      <c r="F65" s="30">
        <f>VLOOKUP(B65,'Estampados por manguera'!A$2:B$500,2,FALSE)</f>
        <v>3</v>
      </c>
      <c r="G65" s="30">
        <f t="shared" si="40"/>
        <v>3</v>
      </c>
      <c r="H65" s="82">
        <v>6</v>
      </c>
      <c r="I65" s="30">
        <f t="shared" si="41"/>
        <v>18</v>
      </c>
      <c r="J65" s="32">
        <f t="shared" si="42"/>
        <v>180</v>
      </c>
      <c r="K65" s="30">
        <f t="shared" si="43"/>
        <v>198</v>
      </c>
      <c r="L65" s="32">
        <v>1200</v>
      </c>
      <c r="M65" s="30">
        <f>VLOOKUP(B65,'Mangueras por contenedor'!A$2:B$500,2,FALSE)</f>
        <v>50</v>
      </c>
      <c r="N65" s="45">
        <f t="shared" si="44"/>
        <v>0.02</v>
      </c>
      <c r="O65" s="11">
        <f t="shared" si="53"/>
        <v>33</v>
      </c>
      <c r="P65" s="32">
        <f t="shared" si="45"/>
        <v>900</v>
      </c>
      <c r="Q65" s="32">
        <f>IF(M65&gt;=100,1,IF((M65*2)&gt;=100,2,IF((M65*3)&gt;=100,3,IF((M65*4)&gt;=100,4,5))))</f>
        <v>2</v>
      </c>
      <c r="R65" s="32">
        <f t="shared" si="47"/>
        <v>1800</v>
      </c>
      <c r="S65" s="32">
        <f t="shared" si="48"/>
        <v>33</v>
      </c>
      <c r="T65" s="32">
        <f t="shared" si="49"/>
        <v>100</v>
      </c>
      <c r="U65" s="59" t="str">
        <f t="shared" si="57"/>
        <v/>
      </c>
      <c r="V65" s="59" t="str">
        <f t="shared" si="57"/>
        <v/>
      </c>
      <c r="W65" s="59" t="str">
        <f t="shared" si="57"/>
        <v/>
      </c>
      <c r="X65" s="59" t="str">
        <f t="shared" si="57"/>
        <v/>
      </c>
      <c r="Y65" s="59" t="str">
        <f t="shared" si="57"/>
        <v/>
      </c>
      <c r="Z65" s="59" t="str">
        <f t="shared" si="57"/>
        <v/>
      </c>
      <c r="AA65" s="59" t="str">
        <f t="shared" si="57"/>
        <v/>
      </c>
      <c r="AB65" s="59" t="str">
        <f t="shared" si="57"/>
        <v/>
      </c>
      <c r="AC65" s="59" t="str">
        <f t="shared" si="57"/>
        <v/>
      </c>
      <c r="AD65" s="59" t="str">
        <f t="shared" si="57"/>
        <v/>
      </c>
      <c r="AE65" s="59" t="str">
        <f t="shared" si="58"/>
        <v/>
      </c>
      <c r="AF65" s="59" t="str">
        <f t="shared" si="58"/>
        <v/>
      </c>
      <c r="AG65" s="59" t="str">
        <f t="shared" si="58"/>
        <v/>
      </c>
      <c r="AH65" s="67" t="str">
        <f t="shared" si="58"/>
        <v/>
      </c>
      <c r="AI65" s="67" t="str">
        <f t="shared" si="58"/>
        <v/>
      </c>
      <c r="AJ65" s="67" t="str">
        <f t="shared" si="58"/>
        <v/>
      </c>
      <c r="AK65" s="67" t="str">
        <f t="shared" si="58"/>
        <v/>
      </c>
      <c r="AL65" s="67" t="str">
        <f t="shared" si="58"/>
        <v/>
      </c>
      <c r="AM65" s="67" t="str">
        <f t="shared" si="58"/>
        <v/>
      </c>
      <c r="AN65" s="67" t="str">
        <f t="shared" si="58"/>
        <v/>
      </c>
      <c r="AO65" s="67" t="str">
        <f t="shared" si="59"/>
        <v/>
      </c>
      <c r="AP65" s="67" t="str">
        <f t="shared" si="59"/>
        <v/>
      </c>
      <c r="AQ65" s="67" t="str">
        <f t="shared" si="59"/>
        <v/>
      </c>
      <c r="AR65" s="67" t="str">
        <f t="shared" si="59"/>
        <v/>
      </c>
      <c r="AS65" s="67" t="str">
        <f t="shared" si="59"/>
        <v/>
      </c>
      <c r="AT65" s="67" t="str">
        <f t="shared" si="59"/>
        <v/>
      </c>
      <c r="AU65" s="68" t="str">
        <f t="shared" si="59"/>
        <v/>
      </c>
      <c r="AV65" s="68" t="str">
        <f t="shared" si="59"/>
        <v/>
      </c>
      <c r="AW65" s="68" t="str">
        <f t="shared" si="59"/>
        <v/>
      </c>
      <c r="AX65" s="68" t="str">
        <f t="shared" si="59"/>
        <v/>
      </c>
      <c r="AY65" s="68" t="str">
        <f t="shared" si="59"/>
        <v/>
      </c>
      <c r="AZ65" s="68" t="str">
        <f t="shared" si="59"/>
        <v/>
      </c>
      <c r="BA65" s="68" t="str">
        <f t="shared" si="59"/>
        <v>X</v>
      </c>
      <c r="CH65" s="60"/>
      <c r="CI65" s="60"/>
    </row>
    <row r="66" spans="1:724" s="46" customFormat="1" ht="21" customHeight="1">
      <c r="A66" s="44">
        <v>2</v>
      </c>
      <c r="B66" s="58">
        <v>5303496</v>
      </c>
      <c r="C66" s="27" t="s">
        <v>190</v>
      </c>
      <c r="D66" s="78" t="s">
        <v>52</v>
      </c>
      <c r="E66" s="64">
        <v>1</v>
      </c>
      <c r="F66" s="30">
        <f>VLOOKUP(B66,'Estampados por manguera'!A$2:B$500,2,FALSE)</f>
        <v>1</v>
      </c>
      <c r="G66" s="30">
        <f t="shared" si="40"/>
        <v>1</v>
      </c>
      <c r="H66" s="82">
        <v>6</v>
      </c>
      <c r="I66" s="32">
        <f t="shared" si="41"/>
        <v>6</v>
      </c>
      <c r="J66" s="32">
        <f t="shared" si="42"/>
        <v>180</v>
      </c>
      <c r="K66" s="30">
        <f t="shared" si="43"/>
        <v>186</v>
      </c>
      <c r="L66" s="32">
        <v>1200</v>
      </c>
      <c r="M66" s="30">
        <f>VLOOKUP(B66,'Mangueras por contenedor'!A$2:B$500,2,FALSE)</f>
        <v>45</v>
      </c>
      <c r="N66" s="45">
        <f t="shared" si="44"/>
        <v>2.2222222222222223E-2</v>
      </c>
      <c r="O66" s="11">
        <f t="shared" si="53"/>
        <v>33</v>
      </c>
      <c r="P66" s="32">
        <f t="shared" si="45"/>
        <v>270</v>
      </c>
      <c r="Q66" s="32">
        <v>2</v>
      </c>
      <c r="R66" s="32">
        <f t="shared" si="47"/>
        <v>540</v>
      </c>
      <c r="S66" s="32">
        <f t="shared" si="48"/>
        <v>33</v>
      </c>
      <c r="T66" s="32">
        <f t="shared" si="49"/>
        <v>90</v>
      </c>
      <c r="U66" s="59" t="str">
        <f t="shared" si="57"/>
        <v/>
      </c>
      <c r="V66" s="59" t="str">
        <f t="shared" si="57"/>
        <v/>
      </c>
      <c r="W66" s="59" t="str">
        <f t="shared" si="57"/>
        <v/>
      </c>
      <c r="X66" s="59" t="str">
        <f t="shared" si="57"/>
        <v/>
      </c>
      <c r="Y66" s="59" t="str">
        <f t="shared" si="57"/>
        <v/>
      </c>
      <c r="Z66" s="59" t="str">
        <f t="shared" si="57"/>
        <v/>
      </c>
      <c r="AA66" s="59" t="str">
        <f t="shared" si="57"/>
        <v/>
      </c>
      <c r="AB66" s="59" t="str">
        <f t="shared" si="57"/>
        <v/>
      </c>
      <c r="AC66" s="59" t="str">
        <f t="shared" si="57"/>
        <v/>
      </c>
      <c r="AD66" s="59" t="str">
        <f t="shared" si="57"/>
        <v/>
      </c>
      <c r="AE66" s="59" t="str">
        <f t="shared" si="58"/>
        <v/>
      </c>
      <c r="AF66" s="59" t="str">
        <f t="shared" si="58"/>
        <v/>
      </c>
      <c r="AG66" s="59" t="str">
        <f t="shared" si="58"/>
        <v/>
      </c>
      <c r="AH66" s="67" t="str">
        <f t="shared" si="58"/>
        <v/>
      </c>
      <c r="AI66" s="67" t="str">
        <f t="shared" si="58"/>
        <v/>
      </c>
      <c r="AJ66" s="67" t="str">
        <f t="shared" si="58"/>
        <v/>
      </c>
      <c r="AK66" s="67" t="str">
        <f t="shared" si="58"/>
        <v/>
      </c>
      <c r="AL66" s="67" t="str">
        <f t="shared" si="58"/>
        <v/>
      </c>
      <c r="AM66" s="67" t="str">
        <f t="shared" si="58"/>
        <v/>
      </c>
      <c r="AN66" s="67" t="str">
        <f t="shared" si="58"/>
        <v/>
      </c>
      <c r="AO66" s="67" t="str">
        <f t="shared" si="59"/>
        <v/>
      </c>
      <c r="AP66" s="67" t="str">
        <f t="shared" si="59"/>
        <v/>
      </c>
      <c r="AQ66" s="67" t="str">
        <f t="shared" si="59"/>
        <v/>
      </c>
      <c r="AR66" s="67" t="str">
        <f t="shared" si="59"/>
        <v/>
      </c>
      <c r="AS66" s="67" t="str">
        <f t="shared" si="59"/>
        <v/>
      </c>
      <c r="AT66" s="67" t="str">
        <f t="shared" si="59"/>
        <v/>
      </c>
      <c r="AU66" s="68" t="str">
        <f t="shared" si="59"/>
        <v/>
      </c>
      <c r="AV66" s="68" t="str">
        <f t="shared" si="59"/>
        <v/>
      </c>
      <c r="AW66" s="68" t="str">
        <f t="shared" si="59"/>
        <v/>
      </c>
      <c r="AX66" s="68" t="str">
        <f t="shared" si="59"/>
        <v/>
      </c>
      <c r="AY66" s="68" t="str">
        <f t="shared" si="59"/>
        <v/>
      </c>
      <c r="AZ66" s="68" t="str">
        <f t="shared" si="59"/>
        <v/>
      </c>
      <c r="BA66" s="68" t="str">
        <f t="shared" si="59"/>
        <v>X</v>
      </c>
      <c r="CH66" s="60"/>
      <c r="CI66" s="60"/>
    </row>
    <row r="67" spans="1:724" s="46" customFormat="1" ht="21" customHeight="1">
      <c r="A67" s="44">
        <v>2</v>
      </c>
      <c r="B67" s="58">
        <v>5203495</v>
      </c>
      <c r="C67" s="27" t="s">
        <v>191</v>
      </c>
      <c r="D67" s="78" t="s">
        <v>52</v>
      </c>
      <c r="E67" s="64">
        <v>2</v>
      </c>
      <c r="F67" s="30">
        <f>VLOOKUP(B67,'Estampados por manguera'!A$2:B$500,2,FALSE)</f>
        <v>5</v>
      </c>
      <c r="G67" s="30">
        <f t="shared" si="40"/>
        <v>10</v>
      </c>
      <c r="H67" s="82">
        <v>6</v>
      </c>
      <c r="I67" s="30">
        <f t="shared" si="41"/>
        <v>60</v>
      </c>
      <c r="J67" s="32">
        <f t="shared" si="42"/>
        <v>180</v>
      </c>
      <c r="K67" s="30">
        <f t="shared" si="43"/>
        <v>240</v>
      </c>
      <c r="L67" s="32">
        <v>1200</v>
      </c>
      <c r="M67" s="30">
        <f>VLOOKUP(B67,'Mangueras por contenedor'!A$2:B$500,2,FALSE)</f>
        <v>51</v>
      </c>
      <c r="N67" s="45">
        <f t="shared" si="44"/>
        <v>3.9215686274509803E-2</v>
      </c>
      <c r="O67" s="11">
        <f t="shared" si="53"/>
        <v>21</v>
      </c>
      <c r="P67" s="32">
        <f t="shared" si="45"/>
        <v>1530</v>
      </c>
      <c r="Q67" s="32">
        <f>IF(M67&gt;=100,1,IF((M67*2)&gt;=100,2,IF((M67*3)&gt;=100,3,IF((M67*4)&gt;=100,4,5))))</f>
        <v>2</v>
      </c>
      <c r="R67" s="32">
        <f t="shared" si="47"/>
        <v>3060</v>
      </c>
      <c r="S67" s="32">
        <f t="shared" si="48"/>
        <v>33</v>
      </c>
      <c r="T67" s="32">
        <f t="shared" si="49"/>
        <v>102</v>
      </c>
      <c r="U67" s="59" t="str">
        <f t="shared" ref="U67:AD73" si="60">IF(OR(U$36/$S67=1,U$36/$S67=2,U$36/$S67=3,U$36/$S67=4,U$36/$S67=5,U$36/$S67=6,U$36/$S67=7,U$36/$S67=8,U$36/$S67=9,U$36/$S67=10,U$36/$S67=11,U$36/$S67=12,U$36/$S67=13,U$36/$S67=14,U$36/$S67=15,U$36/$S67=16,U$36/$S67=17,U$36/$S67=18,U$36/$S67=19,U$36/$S67=20,U$36/$S67=21,U$36/$S67=22,U$36/$S67=23,U$36/$S67=24,U$36/$S67=25,U$36/$S67=26,U$36/$S67=27,U$36/$S67=28,U$36/$S67=29,U$36/$S67=30,U$36/$S67=31,U$36/$S67=32,U$36/$S67=33),"X","")</f>
        <v/>
      </c>
      <c r="V67" s="59" t="str">
        <f t="shared" si="60"/>
        <v/>
      </c>
      <c r="W67" s="59" t="str">
        <f t="shared" si="60"/>
        <v/>
      </c>
      <c r="X67" s="59" t="str">
        <f t="shared" si="60"/>
        <v/>
      </c>
      <c r="Y67" s="59" t="str">
        <f t="shared" si="60"/>
        <v/>
      </c>
      <c r="Z67" s="59" t="str">
        <f t="shared" si="60"/>
        <v/>
      </c>
      <c r="AA67" s="59" t="str">
        <f t="shared" si="60"/>
        <v/>
      </c>
      <c r="AB67" s="59" t="str">
        <f t="shared" si="60"/>
        <v/>
      </c>
      <c r="AC67" s="59" t="str">
        <f t="shared" si="60"/>
        <v/>
      </c>
      <c r="AD67" s="59" t="str">
        <f t="shared" si="60"/>
        <v/>
      </c>
      <c r="AE67" s="59" t="str">
        <f t="shared" ref="AE67:AN73" si="61">IF(OR(AE$36/$S67=1,AE$36/$S67=2,AE$36/$S67=3,AE$36/$S67=4,AE$36/$S67=5,AE$36/$S67=6,AE$36/$S67=7,AE$36/$S67=8,AE$36/$S67=9,AE$36/$S67=10,AE$36/$S67=11,AE$36/$S67=12,AE$36/$S67=13,AE$36/$S67=14,AE$36/$S67=15,AE$36/$S67=16,AE$36/$S67=17,AE$36/$S67=18,AE$36/$S67=19,AE$36/$S67=20,AE$36/$S67=21,AE$36/$S67=22,AE$36/$S67=23,AE$36/$S67=24,AE$36/$S67=25,AE$36/$S67=26,AE$36/$S67=27,AE$36/$S67=28,AE$36/$S67=29,AE$36/$S67=30,AE$36/$S67=31,AE$36/$S67=32,AE$36/$S67=33),"X","")</f>
        <v/>
      </c>
      <c r="AF67" s="59" t="str">
        <f t="shared" si="61"/>
        <v/>
      </c>
      <c r="AG67" s="59" t="str">
        <f t="shared" si="61"/>
        <v/>
      </c>
      <c r="AH67" s="67" t="str">
        <f t="shared" si="61"/>
        <v/>
      </c>
      <c r="AI67" s="67" t="str">
        <f t="shared" si="61"/>
        <v/>
      </c>
      <c r="AJ67" s="67" t="str">
        <f t="shared" si="61"/>
        <v/>
      </c>
      <c r="AK67" s="67" t="str">
        <f t="shared" si="61"/>
        <v/>
      </c>
      <c r="AL67" s="67" t="str">
        <f t="shared" si="61"/>
        <v/>
      </c>
      <c r="AM67" s="67" t="str">
        <f t="shared" si="61"/>
        <v/>
      </c>
      <c r="AN67" s="67" t="str">
        <f t="shared" si="61"/>
        <v/>
      </c>
      <c r="AO67" s="67" t="str">
        <f t="shared" ref="AO67:BA73" si="62">IF(OR(AO$36/$S67=1,AO$36/$S67=2,AO$36/$S67=3,AO$36/$S67=4,AO$36/$S67=5,AO$36/$S67=6,AO$36/$S67=7,AO$36/$S67=8,AO$36/$S67=9,AO$36/$S67=10,AO$36/$S67=11,AO$36/$S67=12,AO$36/$S67=13,AO$36/$S67=14,AO$36/$S67=15,AO$36/$S67=16,AO$36/$S67=17,AO$36/$S67=18,AO$36/$S67=19,AO$36/$S67=20,AO$36/$S67=21,AO$36/$S67=22,AO$36/$S67=23,AO$36/$S67=24,AO$36/$S67=25,AO$36/$S67=26,AO$36/$S67=27,AO$36/$S67=28,AO$36/$S67=29,AO$36/$S67=30,AO$36/$S67=31,AO$36/$S67=32,AO$36/$S67=33),"X","")</f>
        <v/>
      </c>
      <c r="AP67" s="67" t="str">
        <f t="shared" si="62"/>
        <v/>
      </c>
      <c r="AQ67" s="67" t="str">
        <f t="shared" si="62"/>
        <v/>
      </c>
      <c r="AR67" s="67" t="str">
        <f t="shared" si="62"/>
        <v/>
      </c>
      <c r="AS67" s="67" t="str">
        <f t="shared" si="62"/>
        <v/>
      </c>
      <c r="AT67" s="67" t="str">
        <f t="shared" si="62"/>
        <v/>
      </c>
      <c r="AU67" s="68" t="str">
        <f t="shared" si="62"/>
        <v/>
      </c>
      <c r="AV67" s="68" t="str">
        <f t="shared" si="62"/>
        <v/>
      </c>
      <c r="AW67" s="68" t="str">
        <f t="shared" si="62"/>
        <v/>
      </c>
      <c r="AX67" s="68" t="str">
        <f t="shared" si="62"/>
        <v/>
      </c>
      <c r="AY67" s="68" t="str">
        <f t="shared" si="62"/>
        <v/>
      </c>
      <c r="AZ67" s="68" t="str">
        <f t="shared" si="62"/>
        <v/>
      </c>
      <c r="BA67" s="68" t="str">
        <f t="shared" si="62"/>
        <v>X</v>
      </c>
      <c r="CH67" s="60"/>
      <c r="CI67" s="60"/>
    </row>
    <row r="68" spans="1:724" s="46" customFormat="1" ht="21" customHeight="1">
      <c r="A68" s="44">
        <v>2</v>
      </c>
      <c r="B68" s="58">
        <v>5301011</v>
      </c>
      <c r="C68" s="27" t="s">
        <v>45</v>
      </c>
      <c r="D68" s="78" t="s">
        <v>51</v>
      </c>
      <c r="E68" s="64">
        <v>2</v>
      </c>
      <c r="F68" s="30">
        <f>VLOOKUP(B68,'Estampados por manguera'!A$2:B$500,2,FALSE)</f>
        <v>3</v>
      </c>
      <c r="G68" s="30">
        <f t="shared" si="40"/>
        <v>6</v>
      </c>
      <c r="H68" s="82">
        <v>6</v>
      </c>
      <c r="I68" s="30">
        <f t="shared" si="41"/>
        <v>36</v>
      </c>
      <c r="J68" s="32">
        <f t="shared" si="42"/>
        <v>180</v>
      </c>
      <c r="K68" s="30">
        <f t="shared" si="43"/>
        <v>216</v>
      </c>
      <c r="L68" s="32">
        <v>1208</v>
      </c>
      <c r="M68" s="30">
        <f>VLOOKUP(B68,'Mangueras por contenedor'!A$2:B$500,2,FALSE)</f>
        <v>120</v>
      </c>
      <c r="N68" s="45">
        <f t="shared" si="44"/>
        <v>1.6666666666666666E-2</v>
      </c>
      <c r="O68" s="11">
        <f t="shared" si="53"/>
        <v>33</v>
      </c>
      <c r="P68" s="32">
        <f t="shared" si="45"/>
        <v>2160</v>
      </c>
      <c r="Q68" s="32">
        <v>1</v>
      </c>
      <c r="R68" s="32">
        <f t="shared" si="47"/>
        <v>2160</v>
      </c>
      <c r="S68" s="32">
        <f t="shared" si="48"/>
        <v>33</v>
      </c>
      <c r="T68" s="32">
        <f t="shared" si="49"/>
        <v>120</v>
      </c>
      <c r="U68" s="59" t="str">
        <f t="shared" si="60"/>
        <v/>
      </c>
      <c r="V68" s="59" t="str">
        <f t="shared" si="60"/>
        <v/>
      </c>
      <c r="W68" s="59" t="str">
        <f t="shared" si="60"/>
        <v/>
      </c>
      <c r="X68" s="59" t="str">
        <f t="shared" si="60"/>
        <v/>
      </c>
      <c r="Y68" s="59" t="str">
        <f t="shared" si="60"/>
        <v/>
      </c>
      <c r="Z68" s="59" t="str">
        <f t="shared" si="60"/>
        <v/>
      </c>
      <c r="AA68" s="59" t="str">
        <f t="shared" si="60"/>
        <v/>
      </c>
      <c r="AB68" s="59" t="str">
        <f t="shared" si="60"/>
        <v/>
      </c>
      <c r="AC68" s="59" t="str">
        <f t="shared" si="60"/>
        <v/>
      </c>
      <c r="AD68" s="59" t="str">
        <f t="shared" si="60"/>
        <v/>
      </c>
      <c r="AE68" s="59" t="str">
        <f t="shared" si="61"/>
        <v/>
      </c>
      <c r="AF68" s="59" t="str">
        <f t="shared" si="61"/>
        <v/>
      </c>
      <c r="AG68" s="59" t="str">
        <f t="shared" si="61"/>
        <v/>
      </c>
      <c r="AH68" s="67" t="str">
        <f t="shared" si="61"/>
        <v/>
      </c>
      <c r="AI68" s="67" t="str">
        <f t="shared" si="61"/>
        <v/>
      </c>
      <c r="AJ68" s="67" t="str">
        <f t="shared" si="61"/>
        <v/>
      </c>
      <c r="AK68" s="67" t="str">
        <f t="shared" si="61"/>
        <v/>
      </c>
      <c r="AL68" s="67" t="str">
        <f t="shared" si="61"/>
        <v/>
      </c>
      <c r="AM68" s="67" t="str">
        <f t="shared" si="61"/>
        <v/>
      </c>
      <c r="AN68" s="67" t="str">
        <f t="shared" si="61"/>
        <v/>
      </c>
      <c r="AO68" s="67" t="str">
        <f t="shared" si="62"/>
        <v/>
      </c>
      <c r="AP68" s="67" t="str">
        <f t="shared" si="62"/>
        <v/>
      </c>
      <c r="AQ68" s="67" t="str">
        <f t="shared" si="62"/>
        <v/>
      </c>
      <c r="AR68" s="67" t="str">
        <f t="shared" si="62"/>
        <v/>
      </c>
      <c r="AS68" s="67" t="str">
        <f t="shared" si="62"/>
        <v/>
      </c>
      <c r="AT68" s="67" t="str">
        <f t="shared" si="62"/>
        <v/>
      </c>
      <c r="AU68" s="68" t="str">
        <f t="shared" si="62"/>
        <v/>
      </c>
      <c r="AV68" s="68" t="str">
        <f t="shared" si="62"/>
        <v/>
      </c>
      <c r="AW68" s="68" t="str">
        <f t="shared" si="62"/>
        <v/>
      </c>
      <c r="AX68" s="68" t="str">
        <f t="shared" si="62"/>
        <v/>
      </c>
      <c r="AY68" s="68" t="str">
        <f t="shared" si="62"/>
        <v/>
      </c>
      <c r="AZ68" s="68" t="str">
        <f t="shared" si="62"/>
        <v/>
      </c>
      <c r="BA68" s="68" t="str">
        <f t="shared" si="62"/>
        <v>X</v>
      </c>
      <c r="CH68" s="60"/>
      <c r="CI68" s="60"/>
    </row>
    <row r="69" spans="1:724" s="46" customFormat="1" ht="21" customHeight="1">
      <c r="A69" s="44">
        <v>2</v>
      </c>
      <c r="B69" s="58">
        <v>5201459</v>
      </c>
      <c r="C69" s="27" t="s">
        <v>192</v>
      </c>
      <c r="D69" s="78" t="s">
        <v>51</v>
      </c>
      <c r="E69" s="64">
        <v>1</v>
      </c>
      <c r="F69" s="30">
        <f>VLOOKUP(B69,'Estampados por manguera'!A$2:B$500,2,FALSE)</f>
        <v>4</v>
      </c>
      <c r="G69" s="30">
        <f t="shared" si="40"/>
        <v>4</v>
      </c>
      <c r="H69" s="82">
        <v>6</v>
      </c>
      <c r="I69" s="30">
        <f t="shared" si="41"/>
        <v>24</v>
      </c>
      <c r="J69" s="32">
        <f t="shared" si="42"/>
        <v>180</v>
      </c>
      <c r="K69" s="30">
        <f t="shared" si="43"/>
        <v>204</v>
      </c>
      <c r="L69" s="32">
        <v>1216</v>
      </c>
      <c r="M69" s="30">
        <f>VLOOKUP(B69,'Mangueras por contenedor'!A$2:B$500,2,FALSE)</f>
        <v>34</v>
      </c>
      <c r="N69" s="45">
        <f t="shared" si="44"/>
        <v>2.9411764705882353E-2</v>
      </c>
      <c r="O69" s="11">
        <f t="shared" si="53"/>
        <v>28</v>
      </c>
      <c r="P69" s="32">
        <f t="shared" si="45"/>
        <v>816</v>
      </c>
      <c r="Q69" s="32">
        <v>1</v>
      </c>
      <c r="R69" s="32">
        <f t="shared" si="47"/>
        <v>816</v>
      </c>
      <c r="S69" s="32">
        <f t="shared" si="48"/>
        <v>28</v>
      </c>
      <c r="T69" s="32">
        <f t="shared" si="49"/>
        <v>34</v>
      </c>
      <c r="U69" s="59" t="str">
        <f t="shared" si="60"/>
        <v/>
      </c>
      <c r="V69" s="59" t="str">
        <f t="shared" si="60"/>
        <v/>
      </c>
      <c r="W69" s="59" t="str">
        <f t="shared" si="60"/>
        <v/>
      </c>
      <c r="X69" s="59" t="str">
        <f t="shared" si="60"/>
        <v/>
      </c>
      <c r="Y69" s="59" t="str">
        <f t="shared" si="60"/>
        <v/>
      </c>
      <c r="Z69" s="59" t="str">
        <f t="shared" si="60"/>
        <v/>
      </c>
      <c r="AA69" s="59" t="str">
        <f t="shared" si="60"/>
        <v/>
      </c>
      <c r="AB69" s="59" t="str">
        <f t="shared" si="60"/>
        <v/>
      </c>
      <c r="AC69" s="59" t="str">
        <f t="shared" si="60"/>
        <v/>
      </c>
      <c r="AD69" s="59" t="str">
        <f t="shared" si="60"/>
        <v/>
      </c>
      <c r="AE69" s="59" t="str">
        <f t="shared" si="61"/>
        <v/>
      </c>
      <c r="AF69" s="59" t="str">
        <f t="shared" si="61"/>
        <v/>
      </c>
      <c r="AG69" s="59" t="str">
        <f t="shared" si="61"/>
        <v/>
      </c>
      <c r="AH69" s="67" t="str">
        <f t="shared" si="61"/>
        <v/>
      </c>
      <c r="AI69" s="67" t="str">
        <f t="shared" si="61"/>
        <v/>
      </c>
      <c r="AJ69" s="67" t="str">
        <f t="shared" si="61"/>
        <v/>
      </c>
      <c r="AK69" s="67" t="str">
        <f t="shared" si="61"/>
        <v/>
      </c>
      <c r="AL69" s="67" t="str">
        <f t="shared" si="61"/>
        <v/>
      </c>
      <c r="AM69" s="67" t="str">
        <f t="shared" si="61"/>
        <v/>
      </c>
      <c r="AN69" s="67" t="str">
        <f t="shared" si="61"/>
        <v/>
      </c>
      <c r="AO69" s="67" t="str">
        <f t="shared" si="62"/>
        <v/>
      </c>
      <c r="AP69" s="67" t="str">
        <f t="shared" si="62"/>
        <v/>
      </c>
      <c r="AQ69" s="67" t="str">
        <f t="shared" si="62"/>
        <v/>
      </c>
      <c r="AR69" s="67" t="str">
        <f t="shared" si="62"/>
        <v/>
      </c>
      <c r="AS69" s="67" t="str">
        <f t="shared" si="62"/>
        <v/>
      </c>
      <c r="AT69" s="67" t="str">
        <f t="shared" si="62"/>
        <v/>
      </c>
      <c r="AU69" s="68" t="str">
        <f t="shared" si="62"/>
        <v/>
      </c>
      <c r="AV69" s="68" t="str">
        <f t="shared" si="62"/>
        <v>X</v>
      </c>
      <c r="AW69" s="68" t="str">
        <f t="shared" si="62"/>
        <v/>
      </c>
      <c r="AX69" s="68" t="str">
        <f t="shared" si="62"/>
        <v/>
      </c>
      <c r="AY69" s="68" t="str">
        <f t="shared" si="62"/>
        <v/>
      </c>
      <c r="AZ69" s="68" t="str">
        <f t="shared" si="62"/>
        <v/>
      </c>
      <c r="BA69" s="68" t="str">
        <f t="shared" si="62"/>
        <v/>
      </c>
      <c r="CH69" s="60"/>
      <c r="CI69" s="60"/>
    </row>
    <row r="70" spans="1:724" s="46" customFormat="1" ht="21" customHeight="1">
      <c r="A70" s="44">
        <v>2</v>
      </c>
      <c r="B70" s="58">
        <v>5201454</v>
      </c>
      <c r="C70" s="27" t="s">
        <v>176</v>
      </c>
      <c r="D70" s="78" t="s">
        <v>51</v>
      </c>
      <c r="E70" s="64">
        <v>1</v>
      </c>
      <c r="F70" s="30">
        <f>VLOOKUP(B70,'Estampados por manguera'!A$2:B$500,2,FALSE)</f>
        <v>2</v>
      </c>
      <c r="G70" s="30">
        <f t="shared" si="40"/>
        <v>2</v>
      </c>
      <c r="H70" s="82">
        <v>6</v>
      </c>
      <c r="I70" s="30">
        <f t="shared" si="41"/>
        <v>12</v>
      </c>
      <c r="J70" s="32">
        <f t="shared" si="42"/>
        <v>180</v>
      </c>
      <c r="K70" s="30">
        <f t="shared" si="43"/>
        <v>192</v>
      </c>
      <c r="L70" s="32">
        <v>1218</v>
      </c>
      <c r="M70" s="30">
        <f>VLOOKUP(B70,'Mangueras por contenedor'!A$2:B$500,2,FALSE)</f>
        <v>70</v>
      </c>
      <c r="N70" s="45">
        <f t="shared" si="44"/>
        <v>1.4285714285714285E-2</v>
      </c>
      <c r="O70" s="11">
        <f t="shared" si="53"/>
        <v>33</v>
      </c>
      <c r="P70" s="32">
        <f t="shared" si="45"/>
        <v>840</v>
      </c>
      <c r="Q70" s="32">
        <v>1</v>
      </c>
      <c r="R70" s="32">
        <f t="shared" si="47"/>
        <v>840</v>
      </c>
      <c r="S70" s="32">
        <f t="shared" si="48"/>
        <v>33</v>
      </c>
      <c r="T70" s="32">
        <f t="shared" si="49"/>
        <v>70</v>
      </c>
      <c r="U70" s="59" t="str">
        <f t="shared" si="60"/>
        <v/>
      </c>
      <c r="V70" s="59" t="str">
        <f t="shared" si="60"/>
        <v/>
      </c>
      <c r="W70" s="59" t="str">
        <f t="shared" si="60"/>
        <v/>
      </c>
      <c r="X70" s="59" t="str">
        <f t="shared" si="60"/>
        <v/>
      </c>
      <c r="Y70" s="59" t="str">
        <f t="shared" si="60"/>
        <v/>
      </c>
      <c r="Z70" s="59" t="str">
        <f t="shared" si="60"/>
        <v/>
      </c>
      <c r="AA70" s="59" t="str">
        <f t="shared" si="60"/>
        <v/>
      </c>
      <c r="AB70" s="59" t="str">
        <f t="shared" si="60"/>
        <v/>
      </c>
      <c r="AC70" s="59" t="str">
        <f t="shared" si="60"/>
        <v/>
      </c>
      <c r="AD70" s="59" t="str">
        <f t="shared" si="60"/>
        <v/>
      </c>
      <c r="AE70" s="59" t="str">
        <f t="shared" si="61"/>
        <v/>
      </c>
      <c r="AF70" s="59" t="str">
        <f t="shared" si="61"/>
        <v/>
      </c>
      <c r="AG70" s="59" t="str">
        <f t="shared" si="61"/>
        <v/>
      </c>
      <c r="AH70" s="67" t="str">
        <f t="shared" si="61"/>
        <v/>
      </c>
      <c r="AI70" s="67" t="str">
        <f t="shared" si="61"/>
        <v/>
      </c>
      <c r="AJ70" s="67" t="str">
        <f t="shared" si="61"/>
        <v/>
      </c>
      <c r="AK70" s="67" t="str">
        <f t="shared" si="61"/>
        <v/>
      </c>
      <c r="AL70" s="67" t="str">
        <f t="shared" si="61"/>
        <v/>
      </c>
      <c r="AM70" s="67" t="str">
        <f t="shared" si="61"/>
        <v/>
      </c>
      <c r="AN70" s="67" t="str">
        <f t="shared" si="61"/>
        <v/>
      </c>
      <c r="AO70" s="67" t="str">
        <f t="shared" si="62"/>
        <v/>
      </c>
      <c r="AP70" s="67" t="str">
        <f t="shared" si="62"/>
        <v/>
      </c>
      <c r="AQ70" s="67" t="str">
        <f t="shared" si="62"/>
        <v/>
      </c>
      <c r="AR70" s="67" t="str">
        <f t="shared" si="62"/>
        <v/>
      </c>
      <c r="AS70" s="67" t="str">
        <f t="shared" si="62"/>
        <v/>
      </c>
      <c r="AT70" s="67" t="str">
        <f t="shared" si="62"/>
        <v/>
      </c>
      <c r="AU70" s="68" t="str">
        <f t="shared" si="62"/>
        <v/>
      </c>
      <c r="AV70" s="68" t="str">
        <f t="shared" si="62"/>
        <v/>
      </c>
      <c r="AW70" s="68" t="str">
        <f t="shared" si="62"/>
        <v/>
      </c>
      <c r="AX70" s="68" t="str">
        <f t="shared" si="62"/>
        <v/>
      </c>
      <c r="AY70" s="68" t="str">
        <f t="shared" si="62"/>
        <v/>
      </c>
      <c r="AZ70" s="68" t="str">
        <f t="shared" si="62"/>
        <v/>
      </c>
      <c r="BA70" s="68" t="str">
        <f t="shared" si="62"/>
        <v>X</v>
      </c>
      <c r="CH70" s="60"/>
      <c r="CI70" s="60"/>
    </row>
    <row r="71" spans="1:724" s="46" customFormat="1" ht="21" customHeight="1">
      <c r="A71" s="44">
        <v>2</v>
      </c>
      <c r="B71" s="58">
        <v>5301460</v>
      </c>
      <c r="C71" s="27" t="s">
        <v>71</v>
      </c>
      <c r="D71" s="78" t="s">
        <v>51</v>
      </c>
      <c r="E71" s="64">
        <v>2</v>
      </c>
      <c r="F71" s="30">
        <f>VLOOKUP(B71,'Estampados por manguera'!A$2:B$500,2,FALSE)</f>
        <v>1</v>
      </c>
      <c r="G71" s="30">
        <f t="shared" si="40"/>
        <v>2</v>
      </c>
      <c r="H71" s="82">
        <v>6</v>
      </c>
      <c r="I71" s="30">
        <f t="shared" si="41"/>
        <v>12</v>
      </c>
      <c r="J71" s="32">
        <f t="shared" si="42"/>
        <v>180</v>
      </c>
      <c r="K71" s="30">
        <f t="shared" si="43"/>
        <v>192</v>
      </c>
      <c r="L71" s="32">
        <v>1219</v>
      </c>
      <c r="M71" s="30">
        <f>VLOOKUP(B71,'Mangueras por contenedor'!A$2:B$500,2,FALSE)</f>
        <v>50</v>
      </c>
      <c r="N71" s="45">
        <f t="shared" si="44"/>
        <v>0.04</v>
      </c>
      <c r="O71" s="11">
        <f t="shared" si="53"/>
        <v>20</v>
      </c>
      <c r="P71" s="32">
        <f t="shared" si="45"/>
        <v>300</v>
      </c>
      <c r="Q71" s="32">
        <v>1</v>
      </c>
      <c r="R71" s="32">
        <f t="shared" si="47"/>
        <v>300</v>
      </c>
      <c r="S71" s="32">
        <f t="shared" si="48"/>
        <v>20</v>
      </c>
      <c r="T71" s="32">
        <f t="shared" si="49"/>
        <v>50</v>
      </c>
      <c r="U71" s="59" t="str">
        <f t="shared" si="60"/>
        <v/>
      </c>
      <c r="V71" s="59" t="str">
        <f t="shared" si="60"/>
        <v/>
      </c>
      <c r="W71" s="59" t="str">
        <f t="shared" si="60"/>
        <v/>
      </c>
      <c r="X71" s="59" t="str">
        <f t="shared" si="60"/>
        <v/>
      </c>
      <c r="Y71" s="59" t="str">
        <f t="shared" si="60"/>
        <v/>
      </c>
      <c r="Z71" s="59" t="str">
        <f t="shared" si="60"/>
        <v/>
      </c>
      <c r="AA71" s="59" t="str">
        <f t="shared" si="60"/>
        <v/>
      </c>
      <c r="AB71" s="59" t="str">
        <f t="shared" si="60"/>
        <v/>
      </c>
      <c r="AC71" s="59" t="str">
        <f t="shared" si="60"/>
        <v/>
      </c>
      <c r="AD71" s="59" t="str">
        <f t="shared" si="60"/>
        <v/>
      </c>
      <c r="AE71" s="59" t="str">
        <f t="shared" si="61"/>
        <v/>
      </c>
      <c r="AF71" s="59" t="str">
        <f t="shared" si="61"/>
        <v/>
      </c>
      <c r="AG71" s="59" t="str">
        <f t="shared" si="61"/>
        <v/>
      </c>
      <c r="AH71" s="67" t="str">
        <f t="shared" si="61"/>
        <v/>
      </c>
      <c r="AI71" s="67" t="str">
        <f t="shared" si="61"/>
        <v/>
      </c>
      <c r="AJ71" s="67" t="str">
        <f t="shared" si="61"/>
        <v/>
      </c>
      <c r="AK71" s="67" t="str">
        <f t="shared" si="61"/>
        <v/>
      </c>
      <c r="AL71" s="67" t="str">
        <f t="shared" si="61"/>
        <v/>
      </c>
      <c r="AM71" s="67" t="str">
        <f t="shared" si="61"/>
        <v/>
      </c>
      <c r="AN71" s="67" t="str">
        <f t="shared" si="61"/>
        <v>X</v>
      </c>
      <c r="AO71" s="67" t="str">
        <f t="shared" si="62"/>
        <v/>
      </c>
      <c r="AP71" s="67" t="str">
        <f t="shared" si="62"/>
        <v/>
      </c>
      <c r="AQ71" s="67" t="str">
        <f t="shared" si="62"/>
        <v/>
      </c>
      <c r="AR71" s="67" t="str">
        <f t="shared" si="62"/>
        <v/>
      </c>
      <c r="AS71" s="67" t="str">
        <f t="shared" si="62"/>
        <v/>
      </c>
      <c r="AT71" s="67" t="str">
        <f t="shared" si="62"/>
        <v/>
      </c>
      <c r="AU71" s="68" t="str">
        <f t="shared" si="62"/>
        <v/>
      </c>
      <c r="AV71" s="68" t="str">
        <f t="shared" si="62"/>
        <v/>
      </c>
      <c r="AW71" s="68" t="str">
        <f t="shared" si="62"/>
        <v/>
      </c>
      <c r="AX71" s="68" t="str">
        <f t="shared" si="62"/>
        <v/>
      </c>
      <c r="AY71" s="68" t="str">
        <f t="shared" si="62"/>
        <v/>
      </c>
      <c r="AZ71" s="68" t="str">
        <f t="shared" si="62"/>
        <v/>
      </c>
      <c r="BA71" s="68" t="str">
        <f t="shared" si="62"/>
        <v/>
      </c>
      <c r="CH71" s="60"/>
      <c r="CI71" s="60"/>
    </row>
    <row r="72" spans="1:724" s="46" customFormat="1" ht="21" customHeight="1">
      <c r="A72" s="44">
        <v>2</v>
      </c>
      <c r="B72" s="58">
        <v>5301461</v>
      </c>
      <c r="C72" s="27" t="s">
        <v>71</v>
      </c>
      <c r="D72" s="78" t="s">
        <v>51</v>
      </c>
      <c r="E72" s="64">
        <v>1</v>
      </c>
      <c r="F72" s="30">
        <f>VLOOKUP(B72,'Estampados por manguera'!A$2:B$500,2,FALSE)</f>
        <v>1</v>
      </c>
      <c r="G72" s="30">
        <f t="shared" si="40"/>
        <v>1</v>
      </c>
      <c r="H72" s="82">
        <v>6</v>
      </c>
      <c r="I72" s="30">
        <f t="shared" si="41"/>
        <v>6</v>
      </c>
      <c r="J72" s="32">
        <f t="shared" si="42"/>
        <v>180</v>
      </c>
      <c r="K72" s="30">
        <f t="shared" si="43"/>
        <v>186</v>
      </c>
      <c r="L72" s="32">
        <v>1220</v>
      </c>
      <c r="M72" s="30">
        <f>VLOOKUP(B72,'Mangueras por contenedor'!A$2:B$500,2,FALSE)</f>
        <v>50</v>
      </c>
      <c r="N72" s="45">
        <f t="shared" si="44"/>
        <v>0.02</v>
      </c>
      <c r="O72" s="11">
        <f t="shared" si="53"/>
        <v>33</v>
      </c>
      <c r="P72" s="32">
        <f t="shared" si="45"/>
        <v>300</v>
      </c>
      <c r="Q72" s="32">
        <v>1</v>
      </c>
      <c r="R72" s="32">
        <f t="shared" si="47"/>
        <v>300</v>
      </c>
      <c r="S72" s="32">
        <f t="shared" si="48"/>
        <v>33</v>
      </c>
      <c r="T72" s="32">
        <f t="shared" si="49"/>
        <v>50</v>
      </c>
      <c r="U72" s="59" t="str">
        <f t="shared" si="60"/>
        <v/>
      </c>
      <c r="V72" s="59" t="str">
        <f t="shared" si="60"/>
        <v/>
      </c>
      <c r="W72" s="59" t="str">
        <f t="shared" si="60"/>
        <v/>
      </c>
      <c r="X72" s="59" t="str">
        <f t="shared" si="60"/>
        <v/>
      </c>
      <c r="Y72" s="59" t="str">
        <f t="shared" si="60"/>
        <v/>
      </c>
      <c r="Z72" s="59" t="str">
        <f t="shared" si="60"/>
        <v/>
      </c>
      <c r="AA72" s="59" t="str">
        <f t="shared" si="60"/>
        <v/>
      </c>
      <c r="AB72" s="59" t="str">
        <f t="shared" si="60"/>
        <v/>
      </c>
      <c r="AC72" s="59" t="str">
        <f t="shared" si="60"/>
        <v/>
      </c>
      <c r="AD72" s="59" t="str">
        <f t="shared" si="60"/>
        <v/>
      </c>
      <c r="AE72" s="59" t="str">
        <f t="shared" si="61"/>
        <v/>
      </c>
      <c r="AF72" s="59" t="str">
        <f t="shared" si="61"/>
        <v/>
      </c>
      <c r="AG72" s="59" t="str">
        <f t="shared" si="61"/>
        <v/>
      </c>
      <c r="AH72" s="67" t="str">
        <f t="shared" si="61"/>
        <v/>
      </c>
      <c r="AI72" s="67" t="str">
        <f t="shared" si="61"/>
        <v/>
      </c>
      <c r="AJ72" s="67" t="str">
        <f t="shared" si="61"/>
        <v/>
      </c>
      <c r="AK72" s="67" t="str">
        <f t="shared" si="61"/>
        <v/>
      </c>
      <c r="AL72" s="67" t="str">
        <f t="shared" si="61"/>
        <v/>
      </c>
      <c r="AM72" s="67" t="str">
        <f t="shared" si="61"/>
        <v/>
      </c>
      <c r="AN72" s="67" t="str">
        <f t="shared" si="61"/>
        <v/>
      </c>
      <c r="AO72" s="67" t="str">
        <f t="shared" si="62"/>
        <v/>
      </c>
      <c r="AP72" s="67" t="str">
        <f t="shared" si="62"/>
        <v/>
      </c>
      <c r="AQ72" s="67" t="str">
        <f t="shared" si="62"/>
        <v/>
      </c>
      <c r="AR72" s="67" t="str">
        <f t="shared" si="62"/>
        <v/>
      </c>
      <c r="AS72" s="67" t="str">
        <f t="shared" si="62"/>
        <v/>
      </c>
      <c r="AT72" s="67" t="str">
        <f t="shared" si="62"/>
        <v/>
      </c>
      <c r="AU72" s="68" t="str">
        <f t="shared" si="62"/>
        <v/>
      </c>
      <c r="AV72" s="68" t="str">
        <f t="shared" si="62"/>
        <v/>
      </c>
      <c r="AW72" s="68" t="str">
        <f t="shared" si="62"/>
        <v/>
      </c>
      <c r="AX72" s="68" t="str">
        <f t="shared" si="62"/>
        <v/>
      </c>
      <c r="AY72" s="68" t="str">
        <f t="shared" si="62"/>
        <v/>
      </c>
      <c r="AZ72" s="68" t="str">
        <f t="shared" si="62"/>
        <v/>
      </c>
      <c r="BA72" s="68" t="str">
        <f t="shared" si="62"/>
        <v>X</v>
      </c>
      <c r="CH72" s="60"/>
      <c r="CI72" s="60"/>
    </row>
    <row r="73" spans="1:724" s="46" customFormat="1" ht="21" customHeight="1">
      <c r="A73" s="44">
        <v>2</v>
      </c>
      <c r="B73" s="58">
        <v>5301550</v>
      </c>
      <c r="C73" s="27" t="s">
        <v>187</v>
      </c>
      <c r="D73" s="78" t="s">
        <v>51</v>
      </c>
      <c r="E73" s="64">
        <v>1</v>
      </c>
      <c r="F73" s="30">
        <f>VLOOKUP(B73,'Estampados por manguera'!A$2:B$500,2,FALSE)</f>
        <v>1</v>
      </c>
      <c r="G73" s="30">
        <f t="shared" si="40"/>
        <v>1</v>
      </c>
      <c r="H73" s="82">
        <v>6</v>
      </c>
      <c r="I73" s="30">
        <f t="shared" si="41"/>
        <v>6</v>
      </c>
      <c r="J73" s="32">
        <f t="shared" si="42"/>
        <v>180</v>
      </c>
      <c r="K73" s="30">
        <f t="shared" si="43"/>
        <v>186</v>
      </c>
      <c r="L73" s="32">
        <v>1224</v>
      </c>
      <c r="M73" s="30">
        <f>VLOOKUP(B73,'Mangueras por contenedor'!A$2:B$500,2,FALSE)</f>
        <v>57</v>
      </c>
      <c r="N73" s="45">
        <f t="shared" si="44"/>
        <v>1.7543859649122806E-2</v>
      </c>
      <c r="O73" s="11">
        <f t="shared" si="53"/>
        <v>33</v>
      </c>
      <c r="P73" s="32">
        <f t="shared" si="45"/>
        <v>342</v>
      </c>
      <c r="Q73" s="32">
        <v>1</v>
      </c>
      <c r="R73" s="32">
        <f t="shared" si="47"/>
        <v>342</v>
      </c>
      <c r="S73" s="32">
        <f t="shared" si="48"/>
        <v>33</v>
      </c>
      <c r="T73" s="32">
        <f t="shared" si="49"/>
        <v>57</v>
      </c>
      <c r="U73" s="59" t="str">
        <f t="shared" si="60"/>
        <v/>
      </c>
      <c r="V73" s="59" t="str">
        <f t="shared" si="60"/>
        <v/>
      </c>
      <c r="W73" s="59" t="str">
        <f t="shared" si="60"/>
        <v/>
      </c>
      <c r="X73" s="59" t="str">
        <f t="shared" si="60"/>
        <v/>
      </c>
      <c r="Y73" s="59" t="str">
        <f t="shared" si="60"/>
        <v/>
      </c>
      <c r="Z73" s="59" t="str">
        <f t="shared" si="60"/>
        <v/>
      </c>
      <c r="AA73" s="59" t="str">
        <f t="shared" si="60"/>
        <v/>
      </c>
      <c r="AB73" s="59" t="str">
        <f t="shared" si="60"/>
        <v/>
      </c>
      <c r="AC73" s="59" t="str">
        <f t="shared" si="60"/>
        <v/>
      </c>
      <c r="AD73" s="59" t="str">
        <f t="shared" si="60"/>
        <v/>
      </c>
      <c r="AE73" s="59" t="str">
        <f t="shared" si="61"/>
        <v/>
      </c>
      <c r="AF73" s="59" t="str">
        <f t="shared" si="61"/>
        <v/>
      </c>
      <c r="AG73" s="59" t="str">
        <f t="shared" si="61"/>
        <v/>
      </c>
      <c r="AH73" s="67" t="str">
        <f t="shared" si="61"/>
        <v/>
      </c>
      <c r="AI73" s="67" t="str">
        <f t="shared" si="61"/>
        <v/>
      </c>
      <c r="AJ73" s="67" t="str">
        <f t="shared" si="61"/>
        <v/>
      </c>
      <c r="AK73" s="67" t="str">
        <f t="shared" si="61"/>
        <v/>
      </c>
      <c r="AL73" s="67" t="str">
        <f t="shared" si="61"/>
        <v/>
      </c>
      <c r="AM73" s="67" t="str">
        <f t="shared" si="61"/>
        <v/>
      </c>
      <c r="AN73" s="67" t="str">
        <f t="shared" si="61"/>
        <v/>
      </c>
      <c r="AO73" s="67" t="str">
        <f t="shared" si="62"/>
        <v/>
      </c>
      <c r="AP73" s="67" t="str">
        <f t="shared" si="62"/>
        <v/>
      </c>
      <c r="AQ73" s="67" t="str">
        <f t="shared" si="62"/>
        <v/>
      </c>
      <c r="AR73" s="67" t="str">
        <f t="shared" si="62"/>
        <v/>
      </c>
      <c r="AS73" s="67" t="str">
        <f t="shared" si="62"/>
        <v/>
      </c>
      <c r="AT73" s="67" t="str">
        <f t="shared" si="62"/>
        <v/>
      </c>
      <c r="AU73" s="68" t="str">
        <f t="shared" si="62"/>
        <v/>
      </c>
      <c r="AV73" s="68" t="str">
        <f t="shared" si="62"/>
        <v/>
      </c>
      <c r="AW73" s="68" t="str">
        <f t="shared" si="62"/>
        <v/>
      </c>
      <c r="AX73" s="68" t="str">
        <f t="shared" si="62"/>
        <v/>
      </c>
      <c r="AY73" s="68" t="str">
        <f t="shared" si="62"/>
        <v/>
      </c>
      <c r="AZ73" s="68" t="str">
        <f t="shared" si="62"/>
        <v/>
      </c>
      <c r="BA73" s="68" t="str">
        <f t="shared" si="62"/>
        <v>X</v>
      </c>
      <c r="CH73" s="60"/>
      <c r="CI73" s="60"/>
    </row>
    <row r="74" spans="1:724" s="46" customFormat="1" ht="21" customHeight="1">
      <c r="A74" s="49"/>
      <c r="B74" s="61"/>
      <c r="C74" s="60"/>
      <c r="D74" s="65"/>
      <c r="E74" s="13"/>
      <c r="F74" s="60"/>
      <c r="G74" s="60"/>
      <c r="H74" s="60"/>
      <c r="I74" s="60"/>
      <c r="J74" s="42"/>
      <c r="K74" s="41"/>
      <c r="L74" s="42"/>
      <c r="M74" s="41"/>
      <c r="N74" s="50"/>
      <c r="O74" s="2"/>
      <c r="P74" s="42"/>
      <c r="Q74" s="42"/>
      <c r="R74" s="42"/>
      <c r="S74" s="42"/>
      <c r="T74" s="42" t="s">
        <v>107</v>
      </c>
      <c r="U74" s="14">
        <f>SUMIFS($R$37:$R$73,U37:U73,"x")</f>
        <v>0</v>
      </c>
      <c r="V74" s="14">
        <f t="shared" ref="V74:AR74" si="63">SUMIFS($R$37:$R$73,V37:V73,"x")</f>
        <v>0</v>
      </c>
      <c r="W74" s="14">
        <f t="shared" si="63"/>
        <v>0</v>
      </c>
      <c r="X74" s="14">
        <f t="shared" si="63"/>
        <v>3060</v>
      </c>
      <c r="Y74" s="14">
        <f t="shared" si="63"/>
        <v>0</v>
      </c>
      <c r="Z74" s="14">
        <f t="shared" si="63"/>
        <v>2070</v>
      </c>
      <c r="AA74" s="14">
        <f t="shared" si="63"/>
        <v>0</v>
      </c>
      <c r="AB74" s="14">
        <f t="shared" si="63"/>
        <v>5100</v>
      </c>
      <c r="AC74" s="14">
        <f t="shared" si="63"/>
        <v>3960</v>
      </c>
      <c r="AD74" s="14">
        <f t="shared" si="63"/>
        <v>5880</v>
      </c>
      <c r="AE74" s="14">
        <f t="shared" si="63"/>
        <v>4446</v>
      </c>
      <c r="AF74" s="14">
        <f t="shared" si="63"/>
        <v>9450</v>
      </c>
      <c r="AG74" s="14">
        <f t="shared" si="63"/>
        <v>0</v>
      </c>
      <c r="AH74" s="14">
        <f t="shared" si="63"/>
        <v>900</v>
      </c>
      <c r="AI74" s="14">
        <f t="shared" si="63"/>
        <v>0</v>
      </c>
      <c r="AJ74" s="14">
        <f t="shared" si="63"/>
        <v>5100</v>
      </c>
      <c r="AK74" s="14">
        <f t="shared" si="63"/>
        <v>0</v>
      </c>
      <c r="AL74" s="14">
        <f t="shared" si="63"/>
        <v>6030</v>
      </c>
      <c r="AM74" s="14">
        <f t="shared" si="63"/>
        <v>720</v>
      </c>
      <c r="AN74" s="14">
        <f t="shared" si="63"/>
        <v>9240</v>
      </c>
      <c r="AO74" s="14">
        <f t="shared" si="63"/>
        <v>0</v>
      </c>
      <c r="AP74" s="14">
        <f t="shared" si="63"/>
        <v>4560</v>
      </c>
      <c r="AQ74" s="14">
        <f t="shared" si="63"/>
        <v>6966</v>
      </c>
      <c r="AR74" s="14">
        <f t="shared" si="63"/>
        <v>7170</v>
      </c>
      <c r="AS74" s="14">
        <f>SUMIFS($R$37:$R$73,AS37:AS73,"x")</f>
        <v>3600</v>
      </c>
      <c r="AT74" s="14">
        <f t="shared" ref="AT74" si="64">SUMIFS($R$37:$R$73,AT37:AT73,"x")</f>
        <v>0</v>
      </c>
      <c r="AU74" s="14">
        <f t="shared" ref="AU74" si="65">SUMIFS($R$37:$R$73,AU37:AU73,"x")</f>
        <v>3960</v>
      </c>
      <c r="AV74" s="14">
        <f t="shared" ref="AV74" si="66">SUMIFS($R$37:$R$73,AV37:AV73,"x")</f>
        <v>5616</v>
      </c>
      <c r="AW74" s="14">
        <f t="shared" ref="AW74" si="67">SUMIFS($R$37:$R$73,AW37:AW73,"x")</f>
        <v>0</v>
      </c>
      <c r="AX74" s="14">
        <f t="shared" ref="AX74" si="68">SUMIFS($R$37:$R$73,AX37:AX73,"x")</f>
        <v>7950</v>
      </c>
      <c r="AY74" s="14">
        <f t="shared" ref="AY74" si="69">SUMIFS($R$37:$R$73,AY37:AY73,"x")</f>
        <v>0</v>
      </c>
      <c r="AZ74" s="14">
        <f t="shared" ref="AZ74" si="70">SUMIFS($R$37:$R$73,AZ37:AZ73,"x")</f>
        <v>5100</v>
      </c>
      <c r="BA74" s="14">
        <f t="shared" ref="BA74" si="71">SUMIFS($R$37:$R$73,BA37:BA73,"x")</f>
        <v>9042</v>
      </c>
      <c r="CH74" s="60"/>
      <c r="CI74" s="60"/>
    </row>
    <row r="75" spans="1:724" s="46" customFormat="1" ht="21" customHeight="1">
      <c r="A75" s="49"/>
      <c r="B75" s="61"/>
      <c r="C75" s="60"/>
      <c r="D75" s="65"/>
      <c r="E75" s="13"/>
      <c r="F75" s="60"/>
      <c r="G75" s="60"/>
      <c r="H75" s="60"/>
      <c r="I75" s="60"/>
      <c r="J75" s="42"/>
      <c r="K75" s="41"/>
      <c r="L75" s="42"/>
      <c r="M75" s="41"/>
      <c r="N75" s="50"/>
      <c r="O75" s="2"/>
      <c r="P75" s="42"/>
      <c r="Q75" s="42"/>
      <c r="R75" s="42"/>
      <c r="S75" s="42"/>
      <c r="T75" s="42" t="s">
        <v>10</v>
      </c>
      <c r="U75" s="14">
        <f t="shared" ref="U75:BA75" si="72">(COUNTIF(U48:U67,"X"))*180</f>
        <v>0</v>
      </c>
      <c r="V75" s="14">
        <f t="shared" si="72"/>
        <v>0</v>
      </c>
      <c r="W75" s="14">
        <f t="shared" si="72"/>
        <v>0</v>
      </c>
      <c r="X75" s="14">
        <f t="shared" si="72"/>
        <v>0</v>
      </c>
      <c r="Y75" s="14">
        <f t="shared" si="72"/>
        <v>0</v>
      </c>
      <c r="Z75" s="14">
        <f t="shared" si="72"/>
        <v>0</v>
      </c>
      <c r="AA75" s="14">
        <f t="shared" si="72"/>
        <v>0</v>
      </c>
      <c r="AB75" s="14">
        <f t="shared" si="72"/>
        <v>0</v>
      </c>
      <c r="AC75" s="14">
        <f t="shared" si="72"/>
        <v>0</v>
      </c>
      <c r="AD75" s="14">
        <f t="shared" si="72"/>
        <v>540</v>
      </c>
      <c r="AE75" s="14">
        <f t="shared" si="72"/>
        <v>720</v>
      </c>
      <c r="AF75" s="14">
        <f t="shared" si="72"/>
        <v>360</v>
      </c>
      <c r="AG75" s="14">
        <f t="shared" si="72"/>
        <v>0</v>
      </c>
      <c r="AH75" s="14">
        <f t="shared" si="72"/>
        <v>180</v>
      </c>
      <c r="AI75" s="14">
        <f t="shared" si="72"/>
        <v>0</v>
      </c>
      <c r="AJ75" s="14">
        <f t="shared" si="72"/>
        <v>0</v>
      </c>
      <c r="AK75" s="14">
        <f t="shared" si="72"/>
        <v>0</v>
      </c>
      <c r="AL75" s="14">
        <f t="shared" si="72"/>
        <v>0</v>
      </c>
      <c r="AM75" s="14">
        <f t="shared" si="72"/>
        <v>180</v>
      </c>
      <c r="AN75" s="14">
        <f t="shared" si="72"/>
        <v>540</v>
      </c>
      <c r="AO75" s="14">
        <f t="shared" si="72"/>
        <v>0</v>
      </c>
      <c r="AP75" s="14">
        <f t="shared" si="72"/>
        <v>540</v>
      </c>
      <c r="AQ75" s="14">
        <f t="shared" si="72"/>
        <v>1080</v>
      </c>
      <c r="AR75" s="14">
        <f t="shared" si="72"/>
        <v>0</v>
      </c>
      <c r="AS75" s="14">
        <f t="shared" si="72"/>
        <v>180</v>
      </c>
      <c r="AT75" s="14">
        <f t="shared" si="72"/>
        <v>0</v>
      </c>
      <c r="AU75" s="14">
        <f t="shared" si="72"/>
        <v>0</v>
      </c>
      <c r="AV75" s="14">
        <f t="shared" si="72"/>
        <v>540</v>
      </c>
      <c r="AW75" s="14">
        <f t="shared" si="72"/>
        <v>0</v>
      </c>
      <c r="AX75" s="14">
        <f t="shared" si="72"/>
        <v>540</v>
      </c>
      <c r="AY75" s="14">
        <f t="shared" si="72"/>
        <v>0</v>
      </c>
      <c r="AZ75" s="14">
        <f t="shared" si="72"/>
        <v>0</v>
      </c>
      <c r="BA75" s="14">
        <f t="shared" si="72"/>
        <v>540</v>
      </c>
      <c r="CH75" s="60"/>
      <c r="CI75" s="60"/>
    </row>
    <row r="76" spans="1:724" s="46" customFormat="1" ht="21" customHeight="1">
      <c r="A76" s="49"/>
      <c r="B76" s="61"/>
      <c r="C76" s="60"/>
      <c r="D76" s="65"/>
      <c r="E76" s="13"/>
      <c r="F76" s="60"/>
      <c r="G76" s="60"/>
      <c r="H76" s="60"/>
      <c r="I76" s="60"/>
      <c r="J76" s="42"/>
      <c r="K76" s="41"/>
      <c r="L76" s="42"/>
      <c r="M76" s="41"/>
      <c r="N76" s="50"/>
      <c r="O76" s="2"/>
      <c r="P76" s="42"/>
      <c r="Q76" s="42"/>
      <c r="R76" s="42"/>
      <c r="S76" s="42"/>
      <c r="T76" s="42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CH76" s="60"/>
      <c r="CI76" s="60"/>
    </row>
    <row r="77" spans="1:724" s="46" customFormat="1" ht="21" customHeight="1">
      <c r="A77" s="49"/>
      <c r="B77" s="61"/>
      <c r="C77" s="60"/>
      <c r="D77" s="65"/>
      <c r="E77" s="13"/>
      <c r="F77" s="60"/>
      <c r="G77" s="60"/>
      <c r="H77" s="60"/>
      <c r="I77" s="60"/>
      <c r="J77" s="42"/>
      <c r="K77" s="41"/>
      <c r="L77" s="42"/>
      <c r="M77" s="41"/>
      <c r="N77" s="50"/>
      <c r="O77" s="2"/>
      <c r="P77" s="42"/>
      <c r="Q77" s="42"/>
      <c r="R77" s="42"/>
      <c r="S77" s="42"/>
      <c r="T77" s="42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CH77" s="60"/>
      <c r="CI77" s="60"/>
    </row>
    <row r="78" spans="1:724" s="60" customFormat="1" ht="21" customHeight="1">
      <c r="B78" s="77"/>
      <c r="D78" s="65"/>
      <c r="E78" s="13"/>
      <c r="F78" s="17"/>
      <c r="G78" s="17"/>
      <c r="H78" s="4"/>
      <c r="P78" s="2"/>
      <c r="Q78" s="2"/>
      <c r="R78" s="2"/>
      <c r="S78" s="2"/>
      <c r="T78" s="2"/>
      <c r="U78" s="170" t="s">
        <v>127</v>
      </c>
      <c r="V78" s="170"/>
      <c r="W78" s="170"/>
      <c r="X78" s="170"/>
      <c r="Y78" s="170"/>
      <c r="Z78" s="170"/>
      <c r="AA78" s="170"/>
      <c r="AB78" s="170"/>
      <c r="AC78" s="170"/>
      <c r="AD78" s="170"/>
      <c r="AE78" s="170"/>
      <c r="AF78" s="170"/>
      <c r="AG78" s="170"/>
      <c r="AH78" s="171" t="s">
        <v>128</v>
      </c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2" t="s">
        <v>129</v>
      </c>
      <c r="AV78" s="172"/>
      <c r="AW78" s="172"/>
      <c r="AX78" s="172"/>
      <c r="AY78" s="172"/>
      <c r="AZ78" s="172"/>
      <c r="BA78" s="172"/>
      <c r="CH78"/>
      <c r="CI78"/>
    </row>
    <row r="79" spans="1:724" s="60" customFormat="1" ht="57.75" customHeight="1">
      <c r="A79" s="38" t="s">
        <v>12</v>
      </c>
      <c r="B79" s="85" t="s">
        <v>0</v>
      </c>
      <c r="C79" s="79" t="s">
        <v>1</v>
      </c>
      <c r="D79" s="39" t="s">
        <v>2</v>
      </c>
      <c r="E79" s="39" t="s">
        <v>108</v>
      </c>
      <c r="F79" s="40" t="s">
        <v>8</v>
      </c>
      <c r="G79" s="40" t="s">
        <v>9</v>
      </c>
      <c r="H79" s="40" t="s">
        <v>7</v>
      </c>
      <c r="I79" s="36" t="s">
        <v>105</v>
      </c>
      <c r="J79" s="38" t="s">
        <v>10</v>
      </c>
      <c r="K79" s="10" t="s">
        <v>11</v>
      </c>
      <c r="L79" s="38" t="s">
        <v>5</v>
      </c>
      <c r="M79" s="39" t="s">
        <v>101</v>
      </c>
      <c r="N79" s="39" t="s">
        <v>102</v>
      </c>
      <c r="O79" s="39" t="s">
        <v>103</v>
      </c>
      <c r="P79" s="37" t="s">
        <v>104</v>
      </c>
      <c r="Q79" s="37" t="s">
        <v>106</v>
      </c>
      <c r="R79" s="37" t="s">
        <v>201</v>
      </c>
      <c r="S79" s="39" t="s">
        <v>177</v>
      </c>
      <c r="T79" s="39" t="s">
        <v>173</v>
      </c>
      <c r="U79" s="53">
        <v>1</v>
      </c>
      <c r="V79" s="53">
        <v>2</v>
      </c>
      <c r="W79" s="53">
        <v>3</v>
      </c>
      <c r="X79" s="53">
        <v>4</v>
      </c>
      <c r="Y79" s="53">
        <v>5</v>
      </c>
      <c r="Z79" s="53">
        <v>6</v>
      </c>
      <c r="AA79" s="53">
        <v>7</v>
      </c>
      <c r="AB79" s="53">
        <v>8</v>
      </c>
      <c r="AC79" s="53">
        <v>9</v>
      </c>
      <c r="AD79" s="53">
        <v>10</v>
      </c>
      <c r="AE79" s="53">
        <v>11</v>
      </c>
      <c r="AF79" s="53">
        <v>12</v>
      </c>
      <c r="AG79" s="53">
        <v>13</v>
      </c>
      <c r="AH79" s="54">
        <v>14</v>
      </c>
      <c r="AI79" s="54">
        <v>15</v>
      </c>
      <c r="AJ79" s="54">
        <v>16</v>
      </c>
      <c r="AK79" s="54">
        <v>17</v>
      </c>
      <c r="AL79" s="54">
        <v>18</v>
      </c>
      <c r="AM79" s="54">
        <v>19</v>
      </c>
      <c r="AN79" s="54">
        <v>20</v>
      </c>
      <c r="AO79" s="54">
        <v>21</v>
      </c>
      <c r="AP79" s="54">
        <v>22</v>
      </c>
      <c r="AQ79" s="54">
        <v>23</v>
      </c>
      <c r="AR79" s="54">
        <v>24</v>
      </c>
      <c r="AS79" s="54">
        <v>25</v>
      </c>
      <c r="AT79" s="54">
        <v>26</v>
      </c>
      <c r="AU79" s="55">
        <v>27</v>
      </c>
      <c r="AV79" s="55">
        <v>28</v>
      </c>
      <c r="AW79" s="55">
        <v>29</v>
      </c>
      <c r="AX79" s="55">
        <v>30</v>
      </c>
      <c r="AY79" s="55">
        <v>31</v>
      </c>
      <c r="AZ79" s="55">
        <v>32</v>
      </c>
      <c r="BA79" s="55">
        <v>33</v>
      </c>
      <c r="CH79"/>
      <c r="CI79"/>
    </row>
    <row r="80" spans="1:724" s="46" customFormat="1" ht="21" customHeight="1">
      <c r="A80" s="28">
        <v>3</v>
      </c>
      <c r="B80" s="58">
        <v>5305398</v>
      </c>
      <c r="C80" s="27" t="s">
        <v>89</v>
      </c>
      <c r="D80" s="78" t="s">
        <v>50</v>
      </c>
      <c r="E80" s="62">
        <v>57</v>
      </c>
      <c r="F80" s="31">
        <f>VLOOKUP(B80,'Estampados por manguera'!A$2:B$500,2,FALSE)</f>
        <v>1</v>
      </c>
      <c r="G80" s="31">
        <f t="shared" ref="G80:G107" si="73">F80*E80</f>
        <v>57</v>
      </c>
      <c r="H80" s="20">
        <v>6</v>
      </c>
      <c r="I80" s="29">
        <f t="shared" ref="I80:I107" si="74">H80*G80</f>
        <v>342</v>
      </c>
      <c r="J80" s="32">
        <f t="shared" ref="J80:J107" si="75">IF(G80&lt;1,0,180)</f>
        <v>180</v>
      </c>
      <c r="K80" s="31">
        <f t="shared" ref="K80:K107" si="76">I80+J80</f>
        <v>522</v>
      </c>
      <c r="L80" s="11">
        <v>1200</v>
      </c>
      <c r="M80" s="31">
        <f>VLOOKUP(B80,'Mangueras por contenedor'!A$2:B$500,2,FALSE)</f>
        <v>60</v>
      </c>
      <c r="N80" s="35">
        <f t="shared" ref="N80:N107" si="77">E80/M80</f>
        <v>0.95</v>
      </c>
      <c r="O80" s="11">
        <f t="shared" ref="O80:O107" si="78">IF(N80&gt;=0.8,1,IF((N80*2)&gt;=0.8,2,IF((N80*3)&gt;=0.8,3,IF((N80*4)&gt;=0.8,4,IF((N80*5)&gt;=0.8,5,IF((N80*6)&gt;=0.8,6,IF((N80*7)&gt;=0.8,7,IF((N80*8)&gt;=0.8,8,IF((N80*9)&gt;=0.8,9,IF((N80*10)&gt;=0.8,10,IF((N80*11)&gt;=0.8,11,IF((N80*12)&gt;=0.8,12,IF((N80*13)&gt;=0.8,13,IF((N80*14)&gt;=0.8,14,(IF((N80*15)&gt;=0.8,15,IF((N80*16)&gt;=0.8,16,IF((N80*17)&gt;=0.8,17,IF((N80*18)&gt;=0.8,18,IF((N80*19)&gt;=0.8,19,IF((N80*20)&gt;=0.8,20,IF((N80*21)&gt;=0.8,21,IF((N80*22)&gt;=0.8,22,IF((N80*23)&gt;=0.8,23,IF((N80*24)&gt;=0.8,24,IF((N80*25)&gt;=0.8,25,IF((N80*26)&gt;=0.8,26,IF((N80*27)&gt;=0.8,27,IF((N80*28)&gt;=0.8,28,IF((N80*29)&gt;=0.8,29,IF((N80*30)&gt;=0.8,30,IF((N80*31)&gt;=0.8,31,IF((N80*32)&gt;=0.8,32,IF((N80*33)&gt;=0.8,33,33))))))))))))))))))))))))))))))))))</f>
        <v>1</v>
      </c>
      <c r="P80" s="11">
        <f t="shared" ref="P80:P107" si="79">F80*H80*M80</f>
        <v>360</v>
      </c>
      <c r="Q80" s="11">
        <f t="shared" ref="Q80:Q95" si="80">IF(M80&gt;=100,1,IF((M80*2)&gt;=100,2,IF((M80*3)&gt;=100,3,IF((M80*4)&gt;=100,4,5))))</f>
        <v>2</v>
      </c>
      <c r="R80" s="32">
        <f t="shared" ref="R80:R107" si="81">P80*Q80</f>
        <v>720</v>
      </c>
      <c r="S80" s="32">
        <f t="shared" ref="S80:S107" si="82">IF((O80*Q80)&lt;33,(O80*Q80),33)</f>
        <v>2</v>
      </c>
      <c r="T80" s="32">
        <f t="shared" ref="T80:T107" si="83">M80*Q80</f>
        <v>120</v>
      </c>
      <c r="U80" s="59" t="str">
        <f t="shared" ref="U80:AD81" si="84">IF(OR(U$79/$S80=1,U$79/$S80=2,U$79/$S80=3,U$79/$S80=4,U$79/$S80=5,U$79/$S80=6,U$79/$S80=7,U$79/$S80=8,U$79/$S80=9,U$79/$S80=10,U$79/$S80=11,U$79/$S80=12,U$79/$S80=13,U$79/$S80=14,U$79/$S80=15,U$79/$S80=16,U$79/$S80=17,U$79/$S80=18,U$79/$S80=19,U$79/$S80=20,U$79/$S80=21,U$79/$S80=22,U$79/$S80=23,U$79/$S80=24,U$79/$S80=25,U$79/$S80=26,U$79/$S80=27,U$79/$S80=28,U$79/$S80=29,U$79/$S80=30,U$79/$S80=31,U$79/$S80=32,U$79/$S80=33),"X","")</f>
        <v/>
      </c>
      <c r="V80" s="59" t="str">
        <f t="shared" si="84"/>
        <v>X</v>
      </c>
      <c r="W80" s="59" t="str">
        <f t="shared" si="84"/>
        <v/>
      </c>
      <c r="X80" s="59" t="str">
        <f t="shared" si="84"/>
        <v>X</v>
      </c>
      <c r="Y80" s="59" t="str">
        <f t="shared" si="84"/>
        <v/>
      </c>
      <c r="Z80" s="59" t="str">
        <f t="shared" si="84"/>
        <v>X</v>
      </c>
      <c r="AA80" s="59" t="str">
        <f t="shared" si="84"/>
        <v/>
      </c>
      <c r="AB80" s="59" t="str">
        <f t="shared" si="84"/>
        <v>X</v>
      </c>
      <c r="AC80" s="59" t="str">
        <f t="shared" si="84"/>
        <v/>
      </c>
      <c r="AD80" s="59" t="str">
        <f t="shared" si="84"/>
        <v>X</v>
      </c>
      <c r="AE80" s="59" t="str">
        <f t="shared" ref="AE80:AN81" si="85">IF(OR(AE$79/$S80=1,AE$79/$S80=2,AE$79/$S80=3,AE$79/$S80=4,AE$79/$S80=5,AE$79/$S80=6,AE$79/$S80=7,AE$79/$S80=8,AE$79/$S80=9,AE$79/$S80=10,AE$79/$S80=11,AE$79/$S80=12,AE$79/$S80=13,AE$79/$S80=14,AE$79/$S80=15,AE$79/$S80=16,AE$79/$S80=17,AE$79/$S80=18,AE$79/$S80=19,AE$79/$S80=20,AE$79/$S80=21,AE$79/$S80=22,AE$79/$S80=23,AE$79/$S80=24,AE$79/$S80=25,AE$79/$S80=26,AE$79/$S80=27,AE$79/$S80=28,AE$79/$S80=29,AE$79/$S80=30,AE$79/$S80=31,AE$79/$S80=32,AE$79/$S80=33),"X","")</f>
        <v/>
      </c>
      <c r="AF80" s="59" t="str">
        <f t="shared" si="85"/>
        <v>X</v>
      </c>
      <c r="AG80" s="59" t="str">
        <f t="shared" si="85"/>
        <v/>
      </c>
      <c r="AH80" s="67" t="str">
        <f t="shared" si="85"/>
        <v>X</v>
      </c>
      <c r="AI80" s="67" t="str">
        <f t="shared" si="85"/>
        <v/>
      </c>
      <c r="AJ80" s="67" t="str">
        <f t="shared" si="85"/>
        <v>X</v>
      </c>
      <c r="AK80" s="67" t="str">
        <f t="shared" si="85"/>
        <v/>
      </c>
      <c r="AL80" s="67" t="str">
        <f t="shared" si="85"/>
        <v>X</v>
      </c>
      <c r="AM80" s="67" t="str">
        <f t="shared" si="85"/>
        <v/>
      </c>
      <c r="AN80" s="67" t="str">
        <f t="shared" si="85"/>
        <v>X</v>
      </c>
      <c r="AO80" s="67" t="str">
        <f t="shared" ref="AO80:BA81" si="86">IF(OR(AO$79/$S80=1,AO$79/$S80=2,AO$79/$S80=3,AO$79/$S80=4,AO$79/$S80=5,AO$79/$S80=6,AO$79/$S80=7,AO$79/$S80=8,AO$79/$S80=9,AO$79/$S80=10,AO$79/$S80=11,AO$79/$S80=12,AO$79/$S80=13,AO$79/$S80=14,AO$79/$S80=15,AO$79/$S80=16,AO$79/$S80=17,AO$79/$S80=18,AO$79/$S80=19,AO$79/$S80=20,AO$79/$S80=21,AO$79/$S80=22,AO$79/$S80=23,AO$79/$S80=24,AO$79/$S80=25,AO$79/$S80=26,AO$79/$S80=27,AO$79/$S80=28,AO$79/$S80=29,AO$79/$S80=30,AO$79/$S80=31,AO$79/$S80=32,AO$79/$S80=33),"X","")</f>
        <v/>
      </c>
      <c r="AP80" s="67" t="str">
        <f t="shared" si="86"/>
        <v>X</v>
      </c>
      <c r="AQ80" s="67" t="str">
        <f t="shared" si="86"/>
        <v/>
      </c>
      <c r="AR80" s="67" t="str">
        <f t="shared" si="86"/>
        <v>X</v>
      </c>
      <c r="AS80" s="67" t="str">
        <f t="shared" si="86"/>
        <v/>
      </c>
      <c r="AT80" s="67" t="str">
        <f t="shared" si="86"/>
        <v>X</v>
      </c>
      <c r="AU80" s="68" t="str">
        <f t="shared" si="86"/>
        <v/>
      </c>
      <c r="AV80" s="68" t="str">
        <f t="shared" si="86"/>
        <v>X</v>
      </c>
      <c r="AW80" s="68" t="str">
        <f t="shared" si="86"/>
        <v/>
      </c>
      <c r="AX80" s="68" t="str">
        <f t="shared" si="86"/>
        <v>X</v>
      </c>
      <c r="AY80" s="68" t="str">
        <f t="shared" si="86"/>
        <v/>
      </c>
      <c r="AZ80" s="68" t="str">
        <f t="shared" si="86"/>
        <v>X</v>
      </c>
      <c r="BA80" s="68" t="str">
        <f t="shared" si="86"/>
        <v/>
      </c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/>
      <c r="CI8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  <c r="LI80" s="60"/>
      <c r="LJ80" s="60"/>
      <c r="LK80" s="60"/>
      <c r="LL80" s="60"/>
      <c r="LM80" s="60"/>
      <c r="LN80" s="60"/>
      <c r="LO80" s="60"/>
      <c r="LP80" s="60"/>
      <c r="LQ80" s="60"/>
      <c r="LR80" s="60"/>
      <c r="LS80" s="60"/>
      <c r="LT80" s="60"/>
      <c r="LU80" s="60"/>
      <c r="LV80" s="60"/>
      <c r="LW80" s="60"/>
      <c r="LX80" s="60"/>
      <c r="LY80" s="60"/>
      <c r="LZ80" s="60"/>
      <c r="MA80" s="60"/>
      <c r="MB80" s="60"/>
      <c r="MC80" s="60"/>
      <c r="MD80" s="60"/>
      <c r="ME80" s="60"/>
      <c r="MF80" s="60"/>
      <c r="MG80" s="60"/>
      <c r="MH80" s="60"/>
      <c r="MI80" s="60"/>
      <c r="MJ80" s="60"/>
      <c r="MK80" s="60"/>
      <c r="ML80" s="60"/>
      <c r="MM80" s="60"/>
      <c r="MN80" s="60"/>
      <c r="MO80" s="60"/>
      <c r="MP80" s="60"/>
      <c r="MQ80" s="60"/>
      <c r="MR80" s="60"/>
      <c r="MS80" s="60"/>
      <c r="MT80" s="60"/>
      <c r="MU80" s="60"/>
      <c r="MV80" s="60"/>
      <c r="MW80" s="60"/>
      <c r="MX80" s="60"/>
      <c r="MY80" s="60"/>
      <c r="MZ80" s="60"/>
      <c r="NA80" s="60"/>
      <c r="NB80" s="60"/>
      <c r="NC80" s="60"/>
      <c r="ND80" s="60"/>
      <c r="NE80" s="60"/>
      <c r="NF80" s="60"/>
      <c r="NG80" s="60"/>
      <c r="NH80" s="60"/>
      <c r="NI80" s="60"/>
      <c r="NJ80" s="60"/>
      <c r="NK80" s="60"/>
      <c r="NL80" s="60"/>
      <c r="NM80" s="60"/>
      <c r="NN80" s="60"/>
      <c r="NO80" s="60"/>
      <c r="NP80" s="60"/>
      <c r="NQ80" s="60"/>
      <c r="NR80" s="60"/>
      <c r="NS80" s="60"/>
      <c r="NT80" s="60"/>
      <c r="NU80" s="60"/>
      <c r="NV80" s="60"/>
      <c r="NW80" s="60"/>
      <c r="NX80" s="60"/>
      <c r="NY80" s="60"/>
      <c r="NZ80" s="60"/>
      <c r="OA80" s="60"/>
      <c r="OB80" s="60"/>
      <c r="OC80" s="60"/>
      <c r="OD80" s="60"/>
      <c r="OE80" s="60"/>
      <c r="OF80" s="60"/>
      <c r="OG80" s="60"/>
      <c r="OH80" s="60"/>
      <c r="OI80" s="60"/>
      <c r="OJ80" s="60"/>
      <c r="OK80" s="60"/>
      <c r="OL80" s="60"/>
      <c r="OM80" s="60"/>
      <c r="ON80" s="60"/>
      <c r="OO80" s="60"/>
      <c r="OP80" s="60"/>
      <c r="OQ80" s="60"/>
      <c r="OR80" s="60"/>
      <c r="OS80" s="60"/>
      <c r="OT80" s="60"/>
      <c r="OU80" s="60"/>
      <c r="OV80" s="60"/>
      <c r="OW80" s="60"/>
      <c r="OX80" s="60"/>
      <c r="OY80" s="60"/>
      <c r="OZ80" s="60"/>
      <c r="PA80" s="60"/>
      <c r="PB80" s="60"/>
      <c r="PC80" s="60"/>
      <c r="PD80" s="60"/>
      <c r="PE80" s="60"/>
      <c r="PF80" s="60"/>
      <c r="PG80" s="60"/>
      <c r="PH80" s="60"/>
      <c r="PI80" s="60"/>
      <c r="PJ80" s="60"/>
      <c r="PK80" s="60"/>
      <c r="PL80" s="60"/>
      <c r="PM80" s="60"/>
      <c r="PN80" s="60"/>
      <c r="PO80" s="60"/>
      <c r="PP80" s="60"/>
      <c r="PQ80" s="60"/>
      <c r="PR80" s="60"/>
      <c r="PS80" s="60"/>
      <c r="PT80" s="60"/>
      <c r="PU80" s="60"/>
      <c r="PV80" s="60"/>
      <c r="PW80" s="60"/>
      <c r="PX80" s="60"/>
      <c r="PY80" s="60"/>
      <c r="PZ80" s="60"/>
      <c r="QA80" s="60"/>
      <c r="QB80" s="60"/>
      <c r="QC80" s="60"/>
      <c r="QD80" s="60"/>
      <c r="QE80" s="60"/>
      <c r="QF80" s="60"/>
      <c r="QG80" s="60"/>
      <c r="QH80" s="60"/>
      <c r="QI80" s="60"/>
      <c r="QJ80" s="60"/>
      <c r="QK80" s="60"/>
      <c r="QL80" s="60"/>
      <c r="QM80" s="60"/>
      <c r="QN80" s="60"/>
      <c r="QO80" s="60"/>
      <c r="QP80" s="60"/>
      <c r="QQ80" s="60"/>
      <c r="QR80" s="60"/>
      <c r="QS80" s="60"/>
      <c r="QT80" s="60"/>
      <c r="QU80" s="60"/>
      <c r="QV80" s="60"/>
      <c r="QW80" s="60"/>
      <c r="QX80" s="60"/>
      <c r="QY80" s="60"/>
      <c r="QZ80" s="60"/>
      <c r="RA80" s="60"/>
      <c r="RB80" s="60"/>
      <c r="RC80" s="60"/>
      <c r="RD80" s="60"/>
      <c r="RE80" s="60"/>
      <c r="RF80" s="60"/>
      <c r="RG80" s="60"/>
      <c r="RH80" s="60"/>
      <c r="RI80" s="60"/>
      <c r="RJ80" s="60"/>
      <c r="RK80" s="60"/>
      <c r="RL80" s="60"/>
      <c r="RM80" s="60"/>
      <c r="RN80" s="60"/>
      <c r="RO80" s="60"/>
      <c r="RP80" s="60"/>
      <c r="RQ80" s="60"/>
      <c r="RR80" s="60"/>
      <c r="RS80" s="60"/>
      <c r="RT80" s="60"/>
      <c r="RU80" s="60"/>
      <c r="RV80" s="60"/>
      <c r="RW80" s="60"/>
      <c r="RX80" s="60"/>
      <c r="RY80" s="60"/>
      <c r="RZ80" s="60"/>
      <c r="SA80" s="60"/>
      <c r="SB80" s="60"/>
      <c r="SC80" s="60"/>
      <c r="SD80" s="60"/>
      <c r="SE80" s="60"/>
      <c r="SF80" s="60"/>
      <c r="SG80" s="60"/>
      <c r="SH80" s="60"/>
      <c r="SI80" s="60"/>
      <c r="SJ80" s="60"/>
      <c r="SK80" s="60"/>
      <c r="SL80" s="60"/>
      <c r="SM80" s="60"/>
      <c r="SN80" s="60"/>
      <c r="SO80" s="60"/>
      <c r="SP80" s="60"/>
      <c r="SQ80" s="60"/>
      <c r="SR80" s="60"/>
      <c r="SS80" s="60"/>
      <c r="ST80" s="60"/>
      <c r="SU80" s="60"/>
      <c r="SV80" s="60"/>
      <c r="SW80" s="60"/>
      <c r="SX80" s="60"/>
      <c r="SY80" s="60"/>
      <c r="SZ80" s="60"/>
      <c r="TA80" s="60"/>
      <c r="TB80" s="60"/>
      <c r="TC80" s="60"/>
      <c r="TD80" s="60"/>
      <c r="TE80" s="60"/>
      <c r="TF80" s="60"/>
      <c r="TG80" s="60"/>
      <c r="TH80" s="60"/>
      <c r="TI80" s="60"/>
      <c r="TJ80" s="60"/>
      <c r="TK80" s="60"/>
      <c r="TL80" s="60"/>
      <c r="TM80" s="60"/>
      <c r="TN80" s="60"/>
      <c r="TO80" s="60"/>
      <c r="TP80" s="60"/>
      <c r="TQ80" s="60"/>
      <c r="TR80" s="60"/>
      <c r="TS80" s="60"/>
      <c r="TT80" s="60"/>
      <c r="TU80" s="60"/>
      <c r="TV80" s="60"/>
      <c r="TW80" s="60"/>
      <c r="TX80" s="60"/>
      <c r="TY80" s="60"/>
      <c r="TZ80" s="60"/>
      <c r="UA80" s="60"/>
      <c r="UB80" s="60"/>
      <c r="UC80" s="60"/>
      <c r="UD80" s="60"/>
      <c r="UE80" s="60"/>
      <c r="UF80" s="60"/>
      <c r="UG80" s="60"/>
      <c r="UH80" s="60"/>
      <c r="UI80" s="60"/>
      <c r="UJ80" s="60"/>
      <c r="UK80" s="60"/>
      <c r="UL80" s="60"/>
      <c r="UM80" s="60"/>
      <c r="UN80" s="60"/>
      <c r="UO80" s="60"/>
      <c r="UP80" s="60"/>
      <c r="UQ80" s="60"/>
      <c r="UR80" s="60"/>
      <c r="US80" s="60"/>
      <c r="UT80" s="60"/>
      <c r="UU80" s="60"/>
      <c r="UV80" s="60"/>
      <c r="UW80" s="60"/>
      <c r="UX80" s="60"/>
      <c r="UY80" s="60"/>
      <c r="UZ80" s="60"/>
      <c r="VA80" s="60"/>
      <c r="VB80" s="60"/>
      <c r="VC80" s="60"/>
      <c r="VD80" s="60"/>
      <c r="VE80" s="60"/>
      <c r="VF80" s="60"/>
      <c r="VG80" s="60"/>
      <c r="VH80" s="60"/>
      <c r="VI80" s="60"/>
      <c r="VJ80" s="60"/>
      <c r="VK80" s="60"/>
      <c r="VL80" s="60"/>
      <c r="VM80" s="60"/>
      <c r="VN80" s="60"/>
      <c r="VO80" s="60"/>
      <c r="VP80" s="60"/>
      <c r="VQ80" s="60"/>
      <c r="VR80" s="60"/>
      <c r="VS80" s="60"/>
      <c r="VT80" s="60"/>
      <c r="VU80" s="60"/>
      <c r="VV80" s="60"/>
      <c r="VW80" s="60"/>
      <c r="VX80" s="60"/>
      <c r="VY80" s="60"/>
      <c r="VZ80" s="60"/>
      <c r="WA80" s="60"/>
      <c r="WB80" s="60"/>
      <c r="WC80" s="60"/>
      <c r="WD80" s="60"/>
      <c r="WE80" s="60"/>
      <c r="WF80" s="60"/>
      <c r="WG80" s="60"/>
      <c r="WH80" s="60"/>
      <c r="WI80" s="60"/>
      <c r="WJ80" s="60"/>
      <c r="WK80" s="60"/>
      <c r="WL80" s="60"/>
      <c r="WM80" s="60"/>
      <c r="WN80" s="60"/>
      <c r="WO80" s="60"/>
      <c r="WP80" s="60"/>
      <c r="WQ80" s="60"/>
      <c r="WR80" s="60"/>
      <c r="WS80" s="60"/>
      <c r="WT80" s="60"/>
      <c r="WU80" s="60"/>
      <c r="WV80" s="60"/>
      <c r="WW80" s="60"/>
      <c r="WX80" s="60"/>
      <c r="WY80" s="60"/>
      <c r="WZ80" s="60"/>
      <c r="XA80" s="60"/>
      <c r="XB80" s="60"/>
      <c r="XC80" s="60"/>
      <c r="XD80" s="60"/>
      <c r="XE80" s="60"/>
      <c r="XF80" s="60"/>
      <c r="XG80" s="60"/>
      <c r="XH80" s="60"/>
      <c r="XI80" s="60"/>
      <c r="XJ80" s="60"/>
      <c r="XK80" s="60"/>
      <c r="XL80" s="60"/>
      <c r="XM80" s="60"/>
      <c r="XN80" s="60"/>
      <c r="XO80" s="60"/>
      <c r="XP80" s="60"/>
      <c r="XQ80" s="60"/>
      <c r="XR80" s="60"/>
      <c r="XS80" s="60"/>
      <c r="XT80" s="60"/>
      <c r="XU80" s="60"/>
      <c r="XV80" s="60"/>
      <c r="XW80" s="60"/>
      <c r="XX80" s="60"/>
      <c r="XY80" s="60"/>
      <c r="XZ80" s="60"/>
      <c r="YA80" s="60"/>
      <c r="YB80" s="60"/>
      <c r="YC80" s="60"/>
      <c r="YD80" s="60"/>
      <c r="YE80" s="60"/>
      <c r="YF80" s="60"/>
      <c r="YG80" s="60"/>
      <c r="YH80" s="60"/>
      <c r="YI80" s="60"/>
      <c r="YJ80" s="60"/>
      <c r="YK80" s="60"/>
      <c r="YL80" s="60"/>
      <c r="YM80" s="60"/>
      <c r="YN80" s="60"/>
      <c r="YO80" s="60"/>
      <c r="YP80" s="60"/>
      <c r="YQ80" s="60"/>
      <c r="YR80" s="60"/>
      <c r="YS80" s="60"/>
      <c r="YT80" s="60"/>
      <c r="YU80" s="60"/>
      <c r="YV80" s="60"/>
      <c r="YW80" s="60"/>
      <c r="YX80" s="60"/>
      <c r="YY80" s="60"/>
      <c r="YZ80" s="60"/>
      <c r="ZA80" s="60"/>
      <c r="ZB80" s="60"/>
      <c r="ZC80" s="60"/>
      <c r="ZD80" s="60"/>
      <c r="ZE80" s="60"/>
      <c r="ZF80" s="60"/>
      <c r="ZG80" s="60"/>
      <c r="ZH80" s="60"/>
      <c r="ZI80" s="60"/>
      <c r="ZJ80" s="60"/>
      <c r="ZK80" s="60"/>
      <c r="ZL80" s="60"/>
      <c r="ZM80" s="60"/>
      <c r="ZN80" s="60"/>
      <c r="ZO80" s="60"/>
      <c r="ZP80" s="60"/>
      <c r="ZQ80" s="60"/>
      <c r="ZR80" s="60"/>
      <c r="ZS80" s="60"/>
      <c r="ZT80" s="60"/>
      <c r="ZU80" s="60"/>
      <c r="ZV80" s="60"/>
      <c r="ZW80" s="60"/>
      <c r="ZX80" s="60"/>
      <c r="ZY80" s="60"/>
      <c r="ZZ80" s="60"/>
      <c r="AAA80" s="60"/>
      <c r="AAB80" s="60"/>
      <c r="AAC80" s="60"/>
      <c r="AAD80" s="60"/>
      <c r="AAE80" s="60"/>
      <c r="AAF80" s="60"/>
      <c r="AAG80" s="60"/>
      <c r="AAH80" s="60"/>
      <c r="AAI80" s="60"/>
      <c r="AAJ80" s="60"/>
      <c r="AAK80" s="60"/>
      <c r="AAL80" s="60"/>
      <c r="AAM80" s="60"/>
      <c r="AAN80" s="60"/>
      <c r="AAO80" s="60"/>
      <c r="AAP80" s="60"/>
      <c r="AAQ80" s="60"/>
      <c r="AAR80" s="60"/>
      <c r="AAS80" s="60"/>
      <c r="AAT80" s="60"/>
      <c r="AAU80" s="60"/>
      <c r="AAV80" s="60"/>
    </row>
    <row r="81" spans="1:724" s="46" customFormat="1" ht="21" customHeight="1">
      <c r="A81" s="44">
        <v>3</v>
      </c>
      <c r="B81" s="58">
        <v>5204262</v>
      </c>
      <c r="C81" s="27" t="s">
        <v>81</v>
      </c>
      <c r="D81" s="78" t="s">
        <v>118</v>
      </c>
      <c r="E81" s="62">
        <v>41</v>
      </c>
      <c r="F81" s="30">
        <f>VLOOKUP(B81,'Estampados por manguera'!A$2:B$500,2,FALSE)</f>
        <v>4</v>
      </c>
      <c r="G81" s="30">
        <f t="shared" si="73"/>
        <v>164</v>
      </c>
      <c r="H81" s="32">
        <v>6</v>
      </c>
      <c r="I81" s="30">
        <f t="shared" si="74"/>
        <v>984</v>
      </c>
      <c r="J81" s="32">
        <f t="shared" si="75"/>
        <v>180</v>
      </c>
      <c r="K81" s="30">
        <f t="shared" si="76"/>
        <v>1164</v>
      </c>
      <c r="L81" s="32">
        <v>1200</v>
      </c>
      <c r="M81" s="30">
        <f>VLOOKUP(B81,'Mangueras por contenedor'!A$2:B$500,2,FALSE)</f>
        <v>40</v>
      </c>
      <c r="N81" s="45">
        <f t="shared" si="77"/>
        <v>1.0249999999999999</v>
      </c>
      <c r="O81" s="11">
        <f t="shared" si="78"/>
        <v>1</v>
      </c>
      <c r="P81" s="32">
        <f t="shared" si="79"/>
        <v>960</v>
      </c>
      <c r="Q81" s="11">
        <f t="shared" si="80"/>
        <v>3</v>
      </c>
      <c r="R81" s="32">
        <f t="shared" si="81"/>
        <v>2880</v>
      </c>
      <c r="S81" s="32">
        <f t="shared" si="82"/>
        <v>3</v>
      </c>
      <c r="T81" s="32">
        <f t="shared" si="83"/>
        <v>120</v>
      </c>
      <c r="U81" s="59" t="str">
        <f t="shared" si="84"/>
        <v/>
      </c>
      <c r="V81" s="59" t="str">
        <f t="shared" si="84"/>
        <v/>
      </c>
      <c r="W81" s="59" t="str">
        <f t="shared" si="84"/>
        <v>X</v>
      </c>
      <c r="X81" s="59" t="str">
        <f t="shared" si="84"/>
        <v/>
      </c>
      <c r="Y81" s="59" t="str">
        <f t="shared" si="84"/>
        <v/>
      </c>
      <c r="Z81" s="59" t="str">
        <f t="shared" si="84"/>
        <v>X</v>
      </c>
      <c r="AA81" s="59" t="str">
        <f t="shared" si="84"/>
        <v/>
      </c>
      <c r="AB81" s="59" t="str">
        <f t="shared" si="84"/>
        <v/>
      </c>
      <c r="AC81" s="59" t="str">
        <f t="shared" si="84"/>
        <v>X</v>
      </c>
      <c r="AD81" s="59" t="str">
        <f t="shared" si="84"/>
        <v/>
      </c>
      <c r="AE81" s="59" t="str">
        <f t="shared" si="85"/>
        <v/>
      </c>
      <c r="AF81" s="59" t="str">
        <f t="shared" si="85"/>
        <v>X</v>
      </c>
      <c r="AG81" s="59" t="str">
        <f t="shared" si="85"/>
        <v/>
      </c>
      <c r="AH81" s="67" t="str">
        <f t="shared" si="85"/>
        <v/>
      </c>
      <c r="AI81" s="67" t="str">
        <f t="shared" si="85"/>
        <v>X</v>
      </c>
      <c r="AJ81" s="67" t="str">
        <f t="shared" si="85"/>
        <v/>
      </c>
      <c r="AK81" s="67" t="str">
        <f t="shared" si="85"/>
        <v/>
      </c>
      <c r="AL81" s="67" t="str">
        <f t="shared" si="85"/>
        <v>X</v>
      </c>
      <c r="AM81" s="67" t="str">
        <f t="shared" si="85"/>
        <v/>
      </c>
      <c r="AN81" s="67" t="str">
        <f t="shared" si="85"/>
        <v/>
      </c>
      <c r="AO81" s="67" t="str">
        <f t="shared" si="86"/>
        <v>X</v>
      </c>
      <c r="AP81" s="67" t="str">
        <f t="shared" si="86"/>
        <v/>
      </c>
      <c r="AQ81" s="67" t="str">
        <f t="shared" si="86"/>
        <v/>
      </c>
      <c r="AR81" s="67" t="str">
        <f t="shared" si="86"/>
        <v>X</v>
      </c>
      <c r="AS81" s="67" t="str">
        <f t="shared" si="86"/>
        <v/>
      </c>
      <c r="AT81" s="67" t="str">
        <f t="shared" si="86"/>
        <v/>
      </c>
      <c r="AU81" s="68" t="str">
        <f t="shared" si="86"/>
        <v>X</v>
      </c>
      <c r="AV81" s="68" t="str">
        <f t="shared" si="86"/>
        <v/>
      </c>
      <c r="AW81" s="68" t="str">
        <f t="shared" si="86"/>
        <v/>
      </c>
      <c r="AX81" s="68" t="str">
        <f t="shared" si="86"/>
        <v>X</v>
      </c>
      <c r="AY81" s="68" t="str">
        <f t="shared" si="86"/>
        <v/>
      </c>
      <c r="AZ81" s="68" t="str">
        <f t="shared" si="86"/>
        <v/>
      </c>
      <c r="BA81" s="68" t="str">
        <f t="shared" si="86"/>
        <v>X</v>
      </c>
      <c r="BB81" s="80"/>
      <c r="CH81"/>
      <c r="CI81"/>
    </row>
    <row r="82" spans="1:724" s="46" customFormat="1" ht="21" customHeight="1">
      <c r="A82" s="44">
        <v>3</v>
      </c>
      <c r="B82" s="58">
        <v>5304336</v>
      </c>
      <c r="C82" s="27" t="s">
        <v>42</v>
      </c>
      <c r="D82" s="78" t="s">
        <v>118</v>
      </c>
      <c r="E82" s="62">
        <v>49</v>
      </c>
      <c r="F82" s="30">
        <f>VLOOKUP(B82,'Estampados por manguera'!A$2:B$500,2,FALSE)</f>
        <v>3</v>
      </c>
      <c r="G82" s="30">
        <f t="shared" si="73"/>
        <v>147</v>
      </c>
      <c r="H82" s="32">
        <v>6</v>
      </c>
      <c r="I82" s="30">
        <f t="shared" si="74"/>
        <v>882</v>
      </c>
      <c r="J82" s="32">
        <f t="shared" si="75"/>
        <v>180</v>
      </c>
      <c r="K82" s="30">
        <f t="shared" si="76"/>
        <v>1062</v>
      </c>
      <c r="L82" s="32">
        <v>1200</v>
      </c>
      <c r="M82" s="30">
        <f>VLOOKUP(B82,'Mangueras por contenedor'!A$2:B$500,2,FALSE)</f>
        <v>35</v>
      </c>
      <c r="N82" s="45">
        <f t="shared" si="77"/>
        <v>1.4</v>
      </c>
      <c r="O82" s="11">
        <f t="shared" si="78"/>
        <v>1</v>
      </c>
      <c r="P82" s="32">
        <f t="shared" si="79"/>
        <v>630</v>
      </c>
      <c r="Q82" s="11">
        <f t="shared" si="80"/>
        <v>3</v>
      </c>
      <c r="R82" s="32">
        <f t="shared" si="81"/>
        <v>1890</v>
      </c>
      <c r="S82" s="32">
        <f t="shared" si="82"/>
        <v>3</v>
      </c>
      <c r="T82" s="32">
        <f t="shared" si="83"/>
        <v>105</v>
      </c>
      <c r="U82" s="59" t="str">
        <f t="shared" ref="U82:AW82" si="87">IF(OR(U$79/$S82=1,U$79/$S82=2,U$79/$S82=3,U$79/$S82=4,U$79/$S82=5,U$79/$S82=6,U$79/$S82=7,U$79/$S82=8,U$79/$S82=9,U$79/$S82=10,U$79/$S82=11,U$79/$S82=12,U$79/$S82=13,U$79/$S82=14,U$79/$S82=15,U$79/$S82=16,U$79/$S82=17,U$79/$S82=18,U$79/$S82=19,U$79/$S82=20,U$79/$S82=21,U$79/$S82=22,U$79/$S82=23,U$79/$S82=24,U$79/$S82=25,U$79/$S82=26,U$79/$S82=27,U$79/$S82=28,U$79/$S82=29,U$79/$S82=30,U$79/$S82=31,U$79/$S82=32,U$79/$S82=33),"X","")</f>
        <v/>
      </c>
      <c r="V82" s="59" t="str">
        <f t="shared" si="87"/>
        <v/>
      </c>
      <c r="W82" s="59" t="str">
        <f t="shared" si="87"/>
        <v>X</v>
      </c>
      <c r="X82" s="59" t="str">
        <f t="shared" si="87"/>
        <v/>
      </c>
      <c r="Y82" s="59" t="str">
        <f t="shared" si="87"/>
        <v/>
      </c>
      <c r="Z82" s="59" t="str">
        <f t="shared" si="87"/>
        <v>X</v>
      </c>
      <c r="AA82" s="59" t="str">
        <f t="shared" si="87"/>
        <v/>
      </c>
      <c r="AB82" s="59" t="str">
        <f t="shared" si="87"/>
        <v/>
      </c>
      <c r="AC82" s="59" t="str">
        <f t="shared" si="87"/>
        <v>X</v>
      </c>
      <c r="AD82" s="59" t="str">
        <f t="shared" si="87"/>
        <v/>
      </c>
      <c r="AE82" s="59" t="str">
        <f t="shared" si="87"/>
        <v/>
      </c>
      <c r="AF82" s="59" t="str">
        <f t="shared" si="87"/>
        <v>X</v>
      </c>
      <c r="AG82" s="59" t="str">
        <f t="shared" si="87"/>
        <v/>
      </c>
      <c r="AH82" s="67" t="str">
        <f t="shared" si="87"/>
        <v/>
      </c>
      <c r="AI82" s="67" t="str">
        <f t="shared" si="87"/>
        <v>X</v>
      </c>
      <c r="AJ82" s="67" t="str">
        <f t="shared" si="87"/>
        <v/>
      </c>
      <c r="AK82" s="67" t="str">
        <f t="shared" si="87"/>
        <v/>
      </c>
      <c r="AL82" s="67" t="str">
        <f t="shared" si="87"/>
        <v>X</v>
      </c>
      <c r="AM82" s="67" t="str">
        <f t="shared" si="87"/>
        <v/>
      </c>
      <c r="AN82" s="67" t="str">
        <f t="shared" si="87"/>
        <v/>
      </c>
      <c r="AO82" s="67" t="str">
        <f t="shared" si="87"/>
        <v>X</v>
      </c>
      <c r="AP82" s="67" t="str">
        <f t="shared" si="87"/>
        <v/>
      </c>
      <c r="AQ82" s="67" t="str">
        <f t="shared" si="87"/>
        <v/>
      </c>
      <c r="AR82" s="67" t="str">
        <f t="shared" si="87"/>
        <v>X</v>
      </c>
      <c r="AS82" s="67" t="str">
        <f t="shared" si="87"/>
        <v/>
      </c>
      <c r="AT82" s="67" t="str">
        <f t="shared" si="87"/>
        <v/>
      </c>
      <c r="AU82" s="68" t="str">
        <f t="shared" si="87"/>
        <v>X</v>
      </c>
      <c r="AV82" s="68" t="str">
        <f t="shared" si="87"/>
        <v/>
      </c>
      <c r="AW82" s="68" t="str">
        <f t="shared" si="87"/>
        <v/>
      </c>
      <c r="AX82" s="68"/>
      <c r="AY82" s="68" t="s">
        <v>202</v>
      </c>
      <c r="AZ82" s="68" t="str">
        <f t="shared" ref="AZ82:BA107" si="88">IF(OR(AZ$79/$S82=1,AZ$79/$S82=2,AZ$79/$S82=3,AZ$79/$S82=4,AZ$79/$S82=5,AZ$79/$S82=6,AZ$79/$S82=7,AZ$79/$S82=8,AZ$79/$S82=9,AZ$79/$S82=10,AZ$79/$S82=11,AZ$79/$S82=12,AZ$79/$S82=13,AZ$79/$S82=14,AZ$79/$S82=15,AZ$79/$S82=16,AZ$79/$S82=17,AZ$79/$S82=18,AZ$79/$S82=19,AZ$79/$S82=20,AZ$79/$S82=21,AZ$79/$S82=22,AZ$79/$S82=23,AZ$79/$S82=24,AZ$79/$S82=25,AZ$79/$S82=26,AZ$79/$S82=27,AZ$79/$S82=28,AZ$79/$S82=29,AZ$79/$S82=30,AZ$79/$S82=31,AZ$79/$S82=32,AZ$79/$S82=33),"X","")</f>
        <v/>
      </c>
      <c r="BA82" s="68" t="str">
        <f t="shared" si="88"/>
        <v>X</v>
      </c>
      <c r="CH82"/>
      <c r="CI82"/>
    </row>
    <row r="83" spans="1:724" s="46" customFormat="1" ht="21" customHeight="1">
      <c r="A83" s="28">
        <v>3</v>
      </c>
      <c r="B83" s="58">
        <v>5304363</v>
      </c>
      <c r="C83" s="27" t="s">
        <v>6</v>
      </c>
      <c r="D83" s="78" t="s">
        <v>118</v>
      </c>
      <c r="E83" s="62">
        <v>38</v>
      </c>
      <c r="F83" s="31">
        <f>VLOOKUP(B83,'Estampados por manguera'!A$2:B$500,2,FALSE)</f>
        <v>2</v>
      </c>
      <c r="G83" s="31">
        <f t="shared" si="73"/>
        <v>76</v>
      </c>
      <c r="H83" s="20">
        <v>6</v>
      </c>
      <c r="I83" s="29">
        <f t="shared" si="74"/>
        <v>456</v>
      </c>
      <c r="J83" s="32">
        <f t="shared" si="75"/>
        <v>180</v>
      </c>
      <c r="K83" s="31">
        <f t="shared" si="76"/>
        <v>636</v>
      </c>
      <c r="L83" s="11">
        <v>1200</v>
      </c>
      <c r="M83" s="31">
        <f>VLOOKUP(B83,'Mangueras por contenedor'!A$2:B$500,2,FALSE)</f>
        <v>40</v>
      </c>
      <c r="N83" s="35">
        <f t="shared" si="77"/>
        <v>0.95</v>
      </c>
      <c r="O83" s="11">
        <f t="shared" si="78"/>
        <v>1</v>
      </c>
      <c r="P83" s="11">
        <f t="shared" si="79"/>
        <v>480</v>
      </c>
      <c r="Q83" s="11">
        <f t="shared" si="80"/>
        <v>3</v>
      </c>
      <c r="R83" s="32">
        <f t="shared" si="81"/>
        <v>1440</v>
      </c>
      <c r="S83" s="32">
        <f t="shared" si="82"/>
        <v>3</v>
      </c>
      <c r="T83" s="32">
        <f t="shared" si="83"/>
        <v>120</v>
      </c>
      <c r="U83" s="59" t="str">
        <f t="shared" ref="U83:AD85" si="89">IF(OR(U$79/$S83=1,U$79/$S83=2,U$79/$S83=3,U$79/$S83=4,U$79/$S83=5,U$79/$S83=6,U$79/$S83=7,U$79/$S83=8,U$79/$S83=9,U$79/$S83=10,U$79/$S83=11,U$79/$S83=12,U$79/$S83=13,U$79/$S83=14,U$79/$S83=15,U$79/$S83=16,U$79/$S83=17,U$79/$S83=18,U$79/$S83=19,U$79/$S83=20,U$79/$S83=21,U$79/$S83=22,U$79/$S83=23,U$79/$S83=24,U$79/$S83=25,U$79/$S83=26,U$79/$S83=27,U$79/$S83=28,U$79/$S83=29,U$79/$S83=30,U$79/$S83=31,U$79/$S83=32,U$79/$S83=33),"X","")</f>
        <v/>
      </c>
      <c r="V83" s="59" t="str">
        <f t="shared" si="89"/>
        <v/>
      </c>
      <c r="W83" s="59" t="str">
        <f t="shared" si="89"/>
        <v>X</v>
      </c>
      <c r="X83" s="59" t="str">
        <f t="shared" si="89"/>
        <v/>
      </c>
      <c r="Y83" s="59" t="str">
        <f t="shared" si="89"/>
        <v/>
      </c>
      <c r="Z83" s="59" t="str">
        <f t="shared" si="89"/>
        <v>X</v>
      </c>
      <c r="AA83" s="59" t="str">
        <f t="shared" si="89"/>
        <v/>
      </c>
      <c r="AB83" s="59" t="str">
        <f t="shared" si="89"/>
        <v/>
      </c>
      <c r="AC83" s="59" t="str">
        <f t="shared" si="89"/>
        <v>X</v>
      </c>
      <c r="AD83" s="59" t="str">
        <f t="shared" si="89"/>
        <v/>
      </c>
      <c r="AE83" s="59" t="str">
        <f t="shared" ref="AE83:AN85" si="90">IF(OR(AE$79/$S83=1,AE$79/$S83=2,AE$79/$S83=3,AE$79/$S83=4,AE$79/$S83=5,AE$79/$S83=6,AE$79/$S83=7,AE$79/$S83=8,AE$79/$S83=9,AE$79/$S83=10,AE$79/$S83=11,AE$79/$S83=12,AE$79/$S83=13,AE$79/$S83=14,AE$79/$S83=15,AE$79/$S83=16,AE$79/$S83=17,AE$79/$S83=18,AE$79/$S83=19,AE$79/$S83=20,AE$79/$S83=21,AE$79/$S83=22,AE$79/$S83=23,AE$79/$S83=24,AE$79/$S83=25,AE$79/$S83=26,AE$79/$S83=27,AE$79/$S83=28,AE$79/$S83=29,AE$79/$S83=30,AE$79/$S83=31,AE$79/$S83=32,AE$79/$S83=33),"X","")</f>
        <v/>
      </c>
      <c r="AF83" s="59" t="str">
        <f t="shared" si="90"/>
        <v>X</v>
      </c>
      <c r="AG83" s="59" t="str">
        <f t="shared" si="90"/>
        <v/>
      </c>
      <c r="AH83" s="67" t="str">
        <f t="shared" si="90"/>
        <v/>
      </c>
      <c r="AI83" s="67" t="str">
        <f t="shared" si="90"/>
        <v>X</v>
      </c>
      <c r="AJ83" s="67" t="str">
        <f t="shared" si="90"/>
        <v/>
      </c>
      <c r="AK83" s="67" t="str">
        <f t="shared" si="90"/>
        <v/>
      </c>
      <c r="AL83" s="67" t="str">
        <f t="shared" si="90"/>
        <v>X</v>
      </c>
      <c r="AM83" s="67" t="str">
        <f t="shared" si="90"/>
        <v/>
      </c>
      <c r="AN83" s="67" t="str">
        <f t="shared" si="90"/>
        <v/>
      </c>
      <c r="AO83" s="67" t="str">
        <f t="shared" ref="AO83:AV85" si="91">IF(OR(AO$79/$S83=1,AO$79/$S83=2,AO$79/$S83=3,AO$79/$S83=4,AO$79/$S83=5,AO$79/$S83=6,AO$79/$S83=7,AO$79/$S83=8,AO$79/$S83=9,AO$79/$S83=10,AO$79/$S83=11,AO$79/$S83=12,AO$79/$S83=13,AO$79/$S83=14,AO$79/$S83=15,AO$79/$S83=16,AO$79/$S83=17,AO$79/$S83=18,AO$79/$S83=19,AO$79/$S83=20,AO$79/$S83=21,AO$79/$S83=22,AO$79/$S83=23,AO$79/$S83=24,AO$79/$S83=25,AO$79/$S83=26,AO$79/$S83=27,AO$79/$S83=28,AO$79/$S83=29,AO$79/$S83=30,AO$79/$S83=31,AO$79/$S83=32,AO$79/$S83=33),"X","")</f>
        <v>X</v>
      </c>
      <c r="AP83" s="67" t="str">
        <f t="shared" si="91"/>
        <v/>
      </c>
      <c r="AQ83" s="67" t="str">
        <f t="shared" si="91"/>
        <v/>
      </c>
      <c r="AR83" s="67" t="str">
        <f t="shared" si="91"/>
        <v>X</v>
      </c>
      <c r="AS83" s="67" t="str">
        <f t="shared" si="91"/>
        <v/>
      </c>
      <c r="AT83" s="67" t="str">
        <f t="shared" si="91"/>
        <v/>
      </c>
      <c r="AU83" s="68" t="str">
        <f t="shared" si="91"/>
        <v>X</v>
      </c>
      <c r="AV83" s="68" t="str">
        <f t="shared" si="91"/>
        <v/>
      </c>
      <c r="AW83" s="68" t="s">
        <v>202</v>
      </c>
      <c r="AX83" s="68"/>
      <c r="AY83" s="68" t="str">
        <f t="shared" ref="AY83:AY107" si="92">IF(OR(AY$79/$S83=1,AY$79/$S83=2,AY$79/$S83=3,AY$79/$S83=4,AY$79/$S83=5,AY$79/$S83=6,AY$79/$S83=7,AY$79/$S83=8,AY$79/$S83=9,AY$79/$S83=10,AY$79/$S83=11,AY$79/$S83=12,AY$79/$S83=13,AY$79/$S83=14,AY$79/$S83=15,AY$79/$S83=16,AY$79/$S83=17,AY$79/$S83=18,AY$79/$S83=19,AY$79/$S83=20,AY$79/$S83=21,AY$79/$S83=22,AY$79/$S83=23,AY$79/$S83=24,AY$79/$S83=25,AY$79/$S83=26,AY$79/$S83=27,AY$79/$S83=28,AY$79/$S83=29,AY$79/$S83=30,AY$79/$S83=31,AY$79/$S83=32,AY$79/$S83=33),"X","")</f>
        <v/>
      </c>
      <c r="AZ83" s="68" t="str">
        <f t="shared" si="88"/>
        <v/>
      </c>
      <c r="BA83" s="68" t="str">
        <f t="shared" si="88"/>
        <v>X</v>
      </c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/>
      <c r="CI83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  <c r="LI83" s="60"/>
      <c r="LJ83" s="60"/>
      <c r="LK83" s="60"/>
      <c r="LL83" s="60"/>
      <c r="LM83" s="60"/>
      <c r="LN83" s="60"/>
      <c r="LO83" s="60"/>
      <c r="LP83" s="60"/>
      <c r="LQ83" s="60"/>
      <c r="LR83" s="60"/>
      <c r="LS83" s="60"/>
      <c r="LT83" s="60"/>
      <c r="LU83" s="60"/>
      <c r="LV83" s="60"/>
      <c r="LW83" s="60"/>
      <c r="LX83" s="60"/>
      <c r="LY83" s="60"/>
      <c r="LZ83" s="60"/>
      <c r="MA83" s="60"/>
      <c r="MB83" s="60"/>
      <c r="MC83" s="60"/>
      <c r="MD83" s="60"/>
      <c r="ME83" s="60"/>
      <c r="MF83" s="60"/>
      <c r="MG83" s="60"/>
      <c r="MH83" s="60"/>
      <c r="MI83" s="60"/>
      <c r="MJ83" s="60"/>
      <c r="MK83" s="60"/>
      <c r="ML83" s="60"/>
      <c r="MM83" s="60"/>
      <c r="MN83" s="60"/>
      <c r="MO83" s="60"/>
      <c r="MP83" s="60"/>
      <c r="MQ83" s="60"/>
      <c r="MR83" s="60"/>
      <c r="MS83" s="60"/>
      <c r="MT83" s="60"/>
      <c r="MU83" s="60"/>
      <c r="MV83" s="60"/>
      <c r="MW83" s="60"/>
      <c r="MX83" s="60"/>
      <c r="MY83" s="60"/>
      <c r="MZ83" s="60"/>
      <c r="NA83" s="60"/>
      <c r="NB83" s="60"/>
      <c r="NC83" s="60"/>
      <c r="ND83" s="60"/>
      <c r="NE83" s="60"/>
      <c r="NF83" s="60"/>
      <c r="NG83" s="60"/>
      <c r="NH83" s="60"/>
      <c r="NI83" s="60"/>
      <c r="NJ83" s="60"/>
      <c r="NK83" s="60"/>
      <c r="NL83" s="60"/>
      <c r="NM83" s="60"/>
      <c r="NN83" s="60"/>
      <c r="NO83" s="60"/>
      <c r="NP83" s="60"/>
      <c r="NQ83" s="60"/>
      <c r="NR83" s="60"/>
      <c r="NS83" s="60"/>
      <c r="NT83" s="60"/>
      <c r="NU83" s="60"/>
      <c r="NV83" s="60"/>
      <c r="NW83" s="60"/>
      <c r="NX83" s="60"/>
      <c r="NY83" s="60"/>
      <c r="NZ83" s="60"/>
      <c r="OA83" s="60"/>
      <c r="OB83" s="60"/>
      <c r="OC83" s="60"/>
      <c r="OD83" s="60"/>
      <c r="OE83" s="60"/>
      <c r="OF83" s="60"/>
      <c r="OG83" s="60"/>
      <c r="OH83" s="60"/>
      <c r="OI83" s="60"/>
      <c r="OJ83" s="60"/>
      <c r="OK83" s="60"/>
      <c r="OL83" s="60"/>
      <c r="OM83" s="60"/>
      <c r="ON83" s="60"/>
      <c r="OO83" s="60"/>
      <c r="OP83" s="60"/>
      <c r="OQ83" s="60"/>
      <c r="OR83" s="60"/>
      <c r="OS83" s="60"/>
      <c r="OT83" s="60"/>
      <c r="OU83" s="60"/>
      <c r="OV83" s="60"/>
      <c r="OW83" s="60"/>
      <c r="OX83" s="60"/>
      <c r="OY83" s="60"/>
      <c r="OZ83" s="60"/>
      <c r="PA83" s="60"/>
      <c r="PB83" s="60"/>
      <c r="PC83" s="60"/>
      <c r="PD83" s="60"/>
      <c r="PE83" s="60"/>
      <c r="PF83" s="60"/>
      <c r="PG83" s="60"/>
      <c r="PH83" s="60"/>
      <c r="PI83" s="60"/>
      <c r="PJ83" s="60"/>
      <c r="PK83" s="60"/>
      <c r="PL83" s="60"/>
      <c r="PM83" s="60"/>
      <c r="PN83" s="60"/>
      <c r="PO83" s="60"/>
      <c r="PP83" s="60"/>
      <c r="PQ83" s="60"/>
      <c r="PR83" s="60"/>
      <c r="PS83" s="60"/>
      <c r="PT83" s="60"/>
      <c r="PU83" s="60"/>
      <c r="PV83" s="60"/>
      <c r="PW83" s="60"/>
      <c r="PX83" s="60"/>
      <c r="PY83" s="60"/>
      <c r="PZ83" s="60"/>
      <c r="QA83" s="60"/>
      <c r="QB83" s="60"/>
      <c r="QC83" s="60"/>
      <c r="QD83" s="60"/>
      <c r="QE83" s="60"/>
      <c r="QF83" s="60"/>
      <c r="QG83" s="60"/>
      <c r="QH83" s="60"/>
      <c r="QI83" s="60"/>
      <c r="QJ83" s="60"/>
      <c r="QK83" s="60"/>
      <c r="QL83" s="60"/>
      <c r="QM83" s="60"/>
      <c r="QN83" s="60"/>
      <c r="QO83" s="60"/>
      <c r="QP83" s="60"/>
      <c r="QQ83" s="60"/>
      <c r="QR83" s="60"/>
      <c r="QS83" s="60"/>
      <c r="QT83" s="60"/>
      <c r="QU83" s="60"/>
      <c r="QV83" s="60"/>
      <c r="QW83" s="60"/>
      <c r="QX83" s="60"/>
      <c r="QY83" s="60"/>
      <c r="QZ83" s="60"/>
      <c r="RA83" s="60"/>
      <c r="RB83" s="60"/>
      <c r="RC83" s="60"/>
      <c r="RD83" s="60"/>
      <c r="RE83" s="60"/>
      <c r="RF83" s="60"/>
      <c r="RG83" s="60"/>
      <c r="RH83" s="60"/>
      <c r="RI83" s="60"/>
      <c r="RJ83" s="60"/>
      <c r="RK83" s="60"/>
      <c r="RL83" s="60"/>
      <c r="RM83" s="60"/>
      <c r="RN83" s="60"/>
      <c r="RO83" s="60"/>
      <c r="RP83" s="60"/>
      <c r="RQ83" s="60"/>
      <c r="RR83" s="60"/>
      <c r="RS83" s="60"/>
      <c r="RT83" s="60"/>
      <c r="RU83" s="60"/>
      <c r="RV83" s="60"/>
      <c r="RW83" s="60"/>
      <c r="RX83" s="60"/>
      <c r="RY83" s="60"/>
      <c r="RZ83" s="60"/>
      <c r="SA83" s="60"/>
      <c r="SB83" s="60"/>
      <c r="SC83" s="60"/>
      <c r="SD83" s="60"/>
      <c r="SE83" s="60"/>
      <c r="SF83" s="60"/>
      <c r="SG83" s="60"/>
      <c r="SH83" s="60"/>
      <c r="SI83" s="60"/>
      <c r="SJ83" s="60"/>
      <c r="SK83" s="60"/>
      <c r="SL83" s="60"/>
      <c r="SM83" s="60"/>
      <c r="SN83" s="60"/>
      <c r="SO83" s="60"/>
      <c r="SP83" s="60"/>
      <c r="SQ83" s="60"/>
      <c r="SR83" s="60"/>
      <c r="SS83" s="60"/>
      <c r="ST83" s="60"/>
      <c r="SU83" s="60"/>
      <c r="SV83" s="60"/>
      <c r="SW83" s="60"/>
      <c r="SX83" s="60"/>
      <c r="SY83" s="60"/>
      <c r="SZ83" s="60"/>
      <c r="TA83" s="60"/>
      <c r="TB83" s="60"/>
      <c r="TC83" s="60"/>
      <c r="TD83" s="60"/>
      <c r="TE83" s="60"/>
      <c r="TF83" s="60"/>
      <c r="TG83" s="60"/>
      <c r="TH83" s="60"/>
      <c r="TI83" s="60"/>
      <c r="TJ83" s="60"/>
      <c r="TK83" s="60"/>
      <c r="TL83" s="60"/>
      <c r="TM83" s="60"/>
      <c r="TN83" s="60"/>
      <c r="TO83" s="60"/>
      <c r="TP83" s="60"/>
      <c r="TQ83" s="60"/>
      <c r="TR83" s="60"/>
      <c r="TS83" s="60"/>
      <c r="TT83" s="60"/>
      <c r="TU83" s="60"/>
      <c r="TV83" s="60"/>
      <c r="TW83" s="60"/>
      <c r="TX83" s="60"/>
      <c r="TY83" s="60"/>
      <c r="TZ83" s="60"/>
      <c r="UA83" s="60"/>
      <c r="UB83" s="60"/>
      <c r="UC83" s="60"/>
      <c r="UD83" s="60"/>
      <c r="UE83" s="60"/>
      <c r="UF83" s="60"/>
      <c r="UG83" s="60"/>
      <c r="UH83" s="60"/>
      <c r="UI83" s="60"/>
      <c r="UJ83" s="60"/>
      <c r="UK83" s="60"/>
      <c r="UL83" s="60"/>
      <c r="UM83" s="60"/>
      <c r="UN83" s="60"/>
      <c r="UO83" s="60"/>
      <c r="UP83" s="60"/>
      <c r="UQ83" s="60"/>
      <c r="UR83" s="60"/>
      <c r="US83" s="60"/>
      <c r="UT83" s="60"/>
      <c r="UU83" s="60"/>
      <c r="UV83" s="60"/>
      <c r="UW83" s="60"/>
      <c r="UX83" s="60"/>
      <c r="UY83" s="60"/>
      <c r="UZ83" s="60"/>
      <c r="VA83" s="60"/>
      <c r="VB83" s="60"/>
      <c r="VC83" s="60"/>
      <c r="VD83" s="60"/>
      <c r="VE83" s="60"/>
      <c r="VF83" s="60"/>
      <c r="VG83" s="60"/>
      <c r="VH83" s="60"/>
      <c r="VI83" s="60"/>
      <c r="VJ83" s="60"/>
      <c r="VK83" s="60"/>
      <c r="VL83" s="60"/>
      <c r="VM83" s="60"/>
      <c r="VN83" s="60"/>
      <c r="VO83" s="60"/>
      <c r="VP83" s="60"/>
      <c r="VQ83" s="60"/>
      <c r="VR83" s="60"/>
      <c r="VS83" s="60"/>
      <c r="VT83" s="60"/>
      <c r="VU83" s="60"/>
      <c r="VV83" s="60"/>
      <c r="VW83" s="60"/>
      <c r="VX83" s="60"/>
      <c r="VY83" s="60"/>
      <c r="VZ83" s="60"/>
      <c r="WA83" s="60"/>
      <c r="WB83" s="60"/>
      <c r="WC83" s="60"/>
      <c r="WD83" s="60"/>
      <c r="WE83" s="60"/>
      <c r="WF83" s="60"/>
      <c r="WG83" s="60"/>
      <c r="WH83" s="60"/>
      <c r="WI83" s="60"/>
      <c r="WJ83" s="60"/>
      <c r="WK83" s="60"/>
      <c r="WL83" s="60"/>
      <c r="WM83" s="60"/>
      <c r="WN83" s="60"/>
      <c r="WO83" s="60"/>
      <c r="WP83" s="60"/>
      <c r="WQ83" s="60"/>
      <c r="WR83" s="60"/>
      <c r="WS83" s="60"/>
      <c r="WT83" s="60"/>
      <c r="WU83" s="60"/>
      <c r="WV83" s="60"/>
      <c r="WW83" s="60"/>
      <c r="WX83" s="60"/>
      <c r="WY83" s="60"/>
      <c r="WZ83" s="60"/>
      <c r="XA83" s="60"/>
      <c r="XB83" s="60"/>
      <c r="XC83" s="60"/>
      <c r="XD83" s="60"/>
      <c r="XE83" s="60"/>
      <c r="XF83" s="60"/>
      <c r="XG83" s="60"/>
      <c r="XH83" s="60"/>
      <c r="XI83" s="60"/>
      <c r="XJ83" s="60"/>
      <c r="XK83" s="60"/>
      <c r="XL83" s="60"/>
      <c r="XM83" s="60"/>
      <c r="XN83" s="60"/>
      <c r="XO83" s="60"/>
      <c r="XP83" s="60"/>
      <c r="XQ83" s="60"/>
      <c r="XR83" s="60"/>
      <c r="XS83" s="60"/>
      <c r="XT83" s="60"/>
      <c r="XU83" s="60"/>
      <c r="XV83" s="60"/>
      <c r="XW83" s="60"/>
      <c r="XX83" s="60"/>
      <c r="XY83" s="60"/>
      <c r="XZ83" s="60"/>
      <c r="YA83" s="60"/>
      <c r="YB83" s="60"/>
      <c r="YC83" s="60"/>
      <c r="YD83" s="60"/>
      <c r="YE83" s="60"/>
      <c r="YF83" s="60"/>
      <c r="YG83" s="60"/>
      <c r="YH83" s="60"/>
      <c r="YI83" s="60"/>
      <c r="YJ83" s="60"/>
      <c r="YK83" s="60"/>
      <c r="YL83" s="60"/>
      <c r="YM83" s="60"/>
      <c r="YN83" s="60"/>
      <c r="YO83" s="60"/>
      <c r="YP83" s="60"/>
      <c r="YQ83" s="60"/>
      <c r="YR83" s="60"/>
      <c r="YS83" s="60"/>
      <c r="YT83" s="60"/>
      <c r="YU83" s="60"/>
      <c r="YV83" s="60"/>
      <c r="YW83" s="60"/>
      <c r="YX83" s="60"/>
      <c r="YY83" s="60"/>
      <c r="YZ83" s="60"/>
      <c r="ZA83" s="60"/>
      <c r="ZB83" s="60"/>
      <c r="ZC83" s="60"/>
      <c r="ZD83" s="60"/>
      <c r="ZE83" s="60"/>
      <c r="ZF83" s="60"/>
      <c r="ZG83" s="60"/>
      <c r="ZH83" s="60"/>
      <c r="ZI83" s="60"/>
      <c r="ZJ83" s="60"/>
      <c r="ZK83" s="60"/>
      <c r="ZL83" s="60"/>
      <c r="ZM83" s="60"/>
      <c r="ZN83" s="60"/>
      <c r="ZO83" s="60"/>
      <c r="ZP83" s="60"/>
      <c r="ZQ83" s="60"/>
      <c r="ZR83" s="60"/>
      <c r="ZS83" s="60"/>
      <c r="ZT83" s="60"/>
      <c r="ZU83" s="60"/>
      <c r="ZV83" s="60"/>
      <c r="ZW83" s="60"/>
      <c r="ZX83" s="60"/>
      <c r="ZY83" s="60"/>
      <c r="ZZ83" s="60"/>
      <c r="AAA83" s="60"/>
      <c r="AAB83" s="60"/>
      <c r="AAC83" s="60"/>
      <c r="AAD83" s="60"/>
      <c r="AAE83" s="60"/>
      <c r="AAF83" s="60"/>
      <c r="AAG83" s="60"/>
      <c r="AAH83" s="60"/>
      <c r="AAI83" s="60"/>
      <c r="AAJ83" s="60"/>
      <c r="AAK83" s="60"/>
      <c r="AAL83" s="60"/>
      <c r="AAM83" s="60"/>
      <c r="AAN83" s="60"/>
      <c r="AAO83" s="60"/>
      <c r="AAP83" s="60"/>
      <c r="AAQ83" s="60"/>
      <c r="AAR83" s="60"/>
      <c r="AAS83" s="60"/>
      <c r="AAT83" s="60"/>
      <c r="AAU83" s="60"/>
      <c r="AAV83" s="60"/>
    </row>
    <row r="84" spans="1:724" s="46" customFormat="1" ht="21" customHeight="1">
      <c r="A84" s="44">
        <v>3</v>
      </c>
      <c r="B84" s="58">
        <v>5305315</v>
      </c>
      <c r="C84" s="27" t="s">
        <v>90</v>
      </c>
      <c r="D84" s="78" t="s">
        <v>50</v>
      </c>
      <c r="E84" s="62">
        <v>43</v>
      </c>
      <c r="F84" s="30">
        <f>VLOOKUP(B84,'Estampados por manguera'!A$2:B$500,2,FALSE)</f>
        <v>1</v>
      </c>
      <c r="G84" s="30">
        <f t="shared" si="73"/>
        <v>43</v>
      </c>
      <c r="H84" s="32">
        <v>6</v>
      </c>
      <c r="I84" s="30">
        <f t="shared" si="74"/>
        <v>258</v>
      </c>
      <c r="J84" s="32">
        <f t="shared" si="75"/>
        <v>180</v>
      </c>
      <c r="K84" s="30">
        <f t="shared" si="76"/>
        <v>438</v>
      </c>
      <c r="L84" s="32">
        <v>1200</v>
      </c>
      <c r="M84" s="30">
        <f>VLOOKUP(B84,'Mangueras por contenedor'!A$2:B$500,2,FALSE)</f>
        <v>60</v>
      </c>
      <c r="N84" s="45">
        <f t="shared" si="77"/>
        <v>0.71666666666666667</v>
      </c>
      <c r="O84" s="11">
        <f t="shared" si="78"/>
        <v>2</v>
      </c>
      <c r="P84" s="32">
        <f t="shared" si="79"/>
        <v>360</v>
      </c>
      <c r="Q84" s="11">
        <f t="shared" si="80"/>
        <v>2</v>
      </c>
      <c r="R84" s="32">
        <f t="shared" si="81"/>
        <v>720</v>
      </c>
      <c r="S84" s="32">
        <f t="shared" si="82"/>
        <v>4</v>
      </c>
      <c r="T84" s="32">
        <f t="shared" si="83"/>
        <v>120</v>
      </c>
      <c r="U84" s="59" t="str">
        <f t="shared" si="89"/>
        <v/>
      </c>
      <c r="V84" s="59" t="str">
        <f t="shared" si="89"/>
        <v/>
      </c>
      <c r="W84" s="59" t="str">
        <f t="shared" si="89"/>
        <v/>
      </c>
      <c r="X84" s="59" t="str">
        <f t="shared" si="89"/>
        <v>X</v>
      </c>
      <c r="Y84" s="59" t="str">
        <f t="shared" si="89"/>
        <v/>
      </c>
      <c r="Z84" s="59" t="str">
        <f t="shared" si="89"/>
        <v/>
      </c>
      <c r="AA84" s="59" t="str">
        <f t="shared" si="89"/>
        <v/>
      </c>
      <c r="AB84" s="59" t="str">
        <f t="shared" si="89"/>
        <v>X</v>
      </c>
      <c r="AC84" s="59" t="str">
        <f t="shared" si="89"/>
        <v/>
      </c>
      <c r="AD84" s="59" t="str">
        <f t="shared" si="89"/>
        <v/>
      </c>
      <c r="AE84" s="59" t="str">
        <f t="shared" si="90"/>
        <v/>
      </c>
      <c r="AF84" s="59" t="str">
        <f t="shared" si="90"/>
        <v>X</v>
      </c>
      <c r="AG84" s="59" t="str">
        <f t="shared" si="90"/>
        <v/>
      </c>
      <c r="AH84" s="67" t="str">
        <f t="shared" si="90"/>
        <v/>
      </c>
      <c r="AI84" s="67" t="str">
        <f t="shared" si="90"/>
        <v/>
      </c>
      <c r="AJ84" s="67" t="str">
        <f t="shared" si="90"/>
        <v>X</v>
      </c>
      <c r="AK84" s="67" t="str">
        <f t="shared" si="90"/>
        <v/>
      </c>
      <c r="AL84" s="67" t="str">
        <f t="shared" si="90"/>
        <v/>
      </c>
      <c r="AM84" s="67" t="str">
        <f t="shared" si="90"/>
        <v/>
      </c>
      <c r="AN84" s="67" t="str">
        <f t="shared" si="90"/>
        <v>X</v>
      </c>
      <c r="AO84" s="67" t="str">
        <f t="shared" si="91"/>
        <v/>
      </c>
      <c r="AP84" s="67" t="str">
        <f t="shared" si="91"/>
        <v/>
      </c>
      <c r="AQ84" s="67" t="str">
        <f t="shared" si="91"/>
        <v/>
      </c>
      <c r="AR84" s="67" t="str">
        <f t="shared" si="91"/>
        <v>X</v>
      </c>
      <c r="AS84" s="67" t="str">
        <f t="shared" si="91"/>
        <v/>
      </c>
      <c r="AT84" s="67" t="str">
        <f t="shared" si="91"/>
        <v/>
      </c>
      <c r="AU84" s="68" t="str">
        <f t="shared" si="91"/>
        <v/>
      </c>
      <c r="AV84" s="68" t="str">
        <f t="shared" si="91"/>
        <v>X</v>
      </c>
      <c r="AW84" s="68" t="str">
        <f t="shared" ref="AW84:AX107" si="93">IF(OR(AW$79/$S84=1,AW$79/$S84=2,AW$79/$S84=3,AW$79/$S84=4,AW$79/$S84=5,AW$79/$S84=6,AW$79/$S84=7,AW$79/$S84=8,AW$79/$S84=9,AW$79/$S84=10,AW$79/$S84=11,AW$79/$S84=12,AW$79/$S84=13,AW$79/$S84=14,AW$79/$S84=15,AW$79/$S84=16,AW$79/$S84=17,AW$79/$S84=18,AW$79/$S84=19,AW$79/$S84=20,AW$79/$S84=21,AW$79/$S84=22,AW$79/$S84=23,AW$79/$S84=24,AW$79/$S84=25,AW$79/$S84=26,AW$79/$S84=27,AW$79/$S84=28,AW$79/$S84=29,AW$79/$S84=30,AW$79/$S84=31,AW$79/$S84=32,AW$79/$S84=33),"X","")</f>
        <v/>
      </c>
      <c r="AX84" s="68" t="str">
        <f t="shared" si="93"/>
        <v/>
      </c>
      <c r="AY84" s="68" t="str">
        <f t="shared" si="92"/>
        <v/>
      </c>
      <c r="AZ84" s="68" t="str">
        <f t="shared" si="88"/>
        <v>X</v>
      </c>
      <c r="BA84" s="68" t="str">
        <f t="shared" si="88"/>
        <v/>
      </c>
      <c r="CH84"/>
      <c r="CI84"/>
      <c r="AAU84" s="60"/>
      <c r="AAV84" s="60"/>
    </row>
    <row r="85" spans="1:724" s="47" customFormat="1" ht="21" customHeight="1" thickBot="1">
      <c r="A85" s="28">
        <v>3</v>
      </c>
      <c r="B85" s="58">
        <v>5305399</v>
      </c>
      <c r="C85" s="27" t="s">
        <v>91</v>
      </c>
      <c r="D85" s="78" t="s">
        <v>50</v>
      </c>
      <c r="E85" s="62">
        <v>31</v>
      </c>
      <c r="F85" s="31">
        <f>VLOOKUP(B85,'Estampados por manguera'!A$2:B$500,2,FALSE)</f>
        <v>1</v>
      </c>
      <c r="G85" s="31">
        <f t="shared" si="73"/>
        <v>31</v>
      </c>
      <c r="H85" s="20">
        <v>6</v>
      </c>
      <c r="I85" s="29">
        <f t="shared" si="74"/>
        <v>186</v>
      </c>
      <c r="J85" s="32">
        <f t="shared" si="75"/>
        <v>180</v>
      </c>
      <c r="K85" s="31">
        <f t="shared" si="76"/>
        <v>366</v>
      </c>
      <c r="L85" s="11">
        <v>1200</v>
      </c>
      <c r="M85" s="31">
        <f>VLOOKUP(B85,'Mangueras por contenedor'!A$2:B$500,2,FALSE)</f>
        <v>70</v>
      </c>
      <c r="N85" s="35">
        <f t="shared" si="77"/>
        <v>0.44285714285714284</v>
      </c>
      <c r="O85" s="11">
        <f t="shared" si="78"/>
        <v>2</v>
      </c>
      <c r="P85" s="11">
        <f t="shared" si="79"/>
        <v>420</v>
      </c>
      <c r="Q85" s="11">
        <f t="shared" si="80"/>
        <v>2</v>
      </c>
      <c r="R85" s="32">
        <f t="shared" si="81"/>
        <v>840</v>
      </c>
      <c r="S85" s="32">
        <f t="shared" si="82"/>
        <v>4</v>
      </c>
      <c r="T85" s="32">
        <f t="shared" si="83"/>
        <v>140</v>
      </c>
      <c r="U85" s="59" t="str">
        <f t="shared" si="89"/>
        <v/>
      </c>
      <c r="V85" s="59" t="str">
        <f t="shared" si="89"/>
        <v/>
      </c>
      <c r="W85" s="59" t="str">
        <f t="shared" si="89"/>
        <v/>
      </c>
      <c r="X85" s="59" t="str">
        <f t="shared" si="89"/>
        <v>X</v>
      </c>
      <c r="Y85" s="59" t="str">
        <f t="shared" si="89"/>
        <v/>
      </c>
      <c r="Z85" s="59" t="str">
        <f t="shared" si="89"/>
        <v/>
      </c>
      <c r="AA85" s="59" t="str">
        <f t="shared" si="89"/>
        <v/>
      </c>
      <c r="AB85" s="59" t="str">
        <f t="shared" si="89"/>
        <v>X</v>
      </c>
      <c r="AC85" s="59" t="str">
        <f t="shared" si="89"/>
        <v/>
      </c>
      <c r="AD85" s="59" t="str">
        <f t="shared" si="89"/>
        <v/>
      </c>
      <c r="AE85" s="59" t="str">
        <f t="shared" si="90"/>
        <v/>
      </c>
      <c r="AF85" s="59" t="str">
        <f t="shared" si="90"/>
        <v>X</v>
      </c>
      <c r="AG85" s="59" t="str">
        <f t="shared" si="90"/>
        <v/>
      </c>
      <c r="AH85" s="67" t="str">
        <f t="shared" si="90"/>
        <v/>
      </c>
      <c r="AI85" s="67" t="str">
        <f t="shared" si="90"/>
        <v/>
      </c>
      <c r="AJ85" s="67" t="str">
        <f t="shared" si="90"/>
        <v>X</v>
      </c>
      <c r="AK85" s="67" t="str">
        <f t="shared" si="90"/>
        <v/>
      </c>
      <c r="AL85" s="67" t="str">
        <f t="shared" si="90"/>
        <v/>
      </c>
      <c r="AM85" s="67" t="str">
        <f t="shared" si="90"/>
        <v/>
      </c>
      <c r="AN85" s="67" t="str">
        <f t="shared" si="90"/>
        <v>X</v>
      </c>
      <c r="AO85" s="67" t="str">
        <f t="shared" si="91"/>
        <v/>
      </c>
      <c r="AP85" s="67" t="str">
        <f t="shared" si="91"/>
        <v/>
      </c>
      <c r="AQ85" s="67" t="str">
        <f t="shared" si="91"/>
        <v/>
      </c>
      <c r="AR85" s="67" t="str">
        <f t="shared" si="91"/>
        <v>X</v>
      </c>
      <c r="AS85" s="67" t="str">
        <f t="shared" si="91"/>
        <v/>
      </c>
      <c r="AT85" s="67" t="str">
        <f t="shared" si="91"/>
        <v/>
      </c>
      <c r="AU85" s="68" t="str">
        <f t="shared" si="91"/>
        <v/>
      </c>
      <c r="AV85" s="68" t="str">
        <f t="shared" si="91"/>
        <v>X</v>
      </c>
      <c r="AW85" s="68" t="str">
        <f t="shared" si="93"/>
        <v/>
      </c>
      <c r="AX85" s="68" t="str">
        <f t="shared" si="93"/>
        <v/>
      </c>
      <c r="AY85" s="68" t="str">
        <f t="shared" si="92"/>
        <v/>
      </c>
      <c r="AZ85" s="68" t="str">
        <f t="shared" si="88"/>
        <v>X</v>
      </c>
      <c r="BA85" s="68" t="str">
        <f t="shared" si="88"/>
        <v/>
      </c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/>
      <c r="CI85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  <c r="LI85" s="60"/>
      <c r="LJ85" s="60"/>
      <c r="LK85" s="60"/>
      <c r="LL85" s="60"/>
      <c r="LM85" s="60"/>
      <c r="LN85" s="60"/>
      <c r="LO85" s="60"/>
      <c r="LP85" s="60"/>
      <c r="LQ85" s="60"/>
      <c r="LR85" s="60"/>
      <c r="LS85" s="60"/>
      <c r="LT85" s="60"/>
      <c r="LU85" s="60"/>
      <c r="LV85" s="60"/>
      <c r="LW85" s="60"/>
      <c r="LX85" s="60"/>
      <c r="LY85" s="60"/>
      <c r="LZ85" s="60"/>
      <c r="MA85" s="60"/>
      <c r="MB85" s="60"/>
      <c r="MC85" s="60"/>
      <c r="MD85" s="60"/>
      <c r="ME85" s="60"/>
      <c r="MF85" s="60"/>
      <c r="MG85" s="60"/>
      <c r="MH85" s="60"/>
      <c r="MI85" s="60"/>
      <c r="MJ85" s="60"/>
      <c r="MK85" s="60"/>
      <c r="ML85" s="60"/>
      <c r="MM85" s="60"/>
      <c r="MN85" s="60"/>
      <c r="MO85" s="60"/>
      <c r="MP85" s="60"/>
      <c r="MQ85" s="60"/>
      <c r="MR85" s="60"/>
      <c r="MS85" s="60"/>
      <c r="MT85" s="60"/>
      <c r="MU85" s="60"/>
      <c r="MV85" s="60"/>
      <c r="MW85" s="60"/>
      <c r="MX85" s="60"/>
      <c r="MY85" s="60"/>
      <c r="MZ85" s="60"/>
      <c r="NA85" s="60"/>
      <c r="NB85" s="60"/>
      <c r="NC85" s="60"/>
      <c r="ND85" s="60"/>
      <c r="NE85" s="60"/>
      <c r="NF85" s="60"/>
      <c r="NG85" s="60"/>
      <c r="NH85" s="60"/>
      <c r="NI85" s="60"/>
      <c r="NJ85" s="60"/>
      <c r="NK85" s="60"/>
      <c r="NL85" s="60"/>
      <c r="NM85" s="60"/>
      <c r="NN85" s="60"/>
      <c r="NO85" s="60"/>
      <c r="NP85" s="60"/>
      <c r="NQ85" s="60"/>
      <c r="NR85" s="60"/>
      <c r="NS85" s="60"/>
      <c r="NT85" s="60"/>
      <c r="NU85" s="60"/>
      <c r="NV85" s="60"/>
      <c r="NW85" s="60"/>
      <c r="NX85" s="60"/>
      <c r="NY85" s="60"/>
      <c r="NZ85" s="60"/>
      <c r="OA85" s="60"/>
      <c r="OB85" s="60"/>
      <c r="OC85" s="60"/>
      <c r="OD85" s="60"/>
      <c r="OE85" s="60"/>
      <c r="OF85" s="60"/>
      <c r="OG85" s="60"/>
      <c r="OH85" s="60"/>
      <c r="OI85" s="60"/>
      <c r="OJ85" s="60"/>
      <c r="OK85" s="60"/>
      <c r="OL85" s="60"/>
      <c r="OM85" s="60"/>
      <c r="ON85" s="60"/>
      <c r="OO85" s="60"/>
      <c r="OP85" s="60"/>
      <c r="OQ85" s="60"/>
      <c r="OR85" s="60"/>
      <c r="OS85" s="60"/>
      <c r="OT85" s="60"/>
      <c r="OU85" s="60"/>
      <c r="OV85" s="60"/>
      <c r="OW85" s="60"/>
      <c r="OX85" s="60"/>
      <c r="OY85" s="60"/>
      <c r="OZ85" s="60"/>
      <c r="PA85" s="60"/>
      <c r="PB85" s="60"/>
      <c r="PC85" s="60"/>
      <c r="PD85" s="60"/>
      <c r="PE85" s="60"/>
      <c r="PF85" s="60"/>
      <c r="PG85" s="60"/>
      <c r="PH85" s="60"/>
      <c r="PI85" s="60"/>
      <c r="PJ85" s="60"/>
      <c r="PK85" s="60"/>
      <c r="PL85" s="60"/>
      <c r="PM85" s="60"/>
      <c r="PN85" s="60"/>
      <c r="PO85" s="60"/>
      <c r="PP85" s="60"/>
      <c r="PQ85" s="60"/>
      <c r="PR85" s="60"/>
      <c r="PS85" s="60"/>
      <c r="PT85" s="60"/>
      <c r="PU85" s="60"/>
      <c r="PV85" s="60"/>
      <c r="PW85" s="60"/>
      <c r="PX85" s="60"/>
      <c r="PY85" s="60"/>
      <c r="PZ85" s="60"/>
      <c r="QA85" s="60"/>
      <c r="QB85" s="60"/>
      <c r="QC85" s="60"/>
      <c r="QD85" s="60"/>
      <c r="QE85" s="60"/>
      <c r="QF85" s="60"/>
      <c r="QG85" s="60"/>
      <c r="QH85" s="60"/>
      <c r="QI85" s="60"/>
      <c r="QJ85" s="60"/>
      <c r="QK85" s="60"/>
      <c r="QL85" s="60"/>
      <c r="QM85" s="60"/>
      <c r="QN85" s="60"/>
      <c r="QO85" s="60"/>
      <c r="QP85" s="60"/>
      <c r="QQ85" s="60"/>
      <c r="QR85" s="60"/>
      <c r="QS85" s="60"/>
      <c r="QT85" s="60"/>
      <c r="QU85" s="60"/>
      <c r="QV85" s="60"/>
      <c r="QW85" s="60"/>
      <c r="QX85" s="60"/>
      <c r="QY85" s="60"/>
      <c r="QZ85" s="60"/>
      <c r="RA85" s="60"/>
      <c r="RB85" s="60"/>
      <c r="RC85" s="60"/>
      <c r="RD85" s="60"/>
      <c r="RE85" s="60"/>
      <c r="RF85" s="60"/>
      <c r="RG85" s="60"/>
      <c r="RH85" s="60"/>
      <c r="RI85" s="60"/>
      <c r="RJ85" s="60"/>
      <c r="RK85" s="60"/>
      <c r="RL85" s="60"/>
      <c r="RM85" s="60"/>
      <c r="RN85" s="60"/>
      <c r="RO85" s="60"/>
      <c r="RP85" s="60"/>
      <c r="RQ85" s="60"/>
      <c r="RR85" s="60"/>
      <c r="RS85" s="60"/>
      <c r="RT85" s="60"/>
      <c r="RU85" s="60"/>
      <c r="RV85" s="60"/>
      <c r="RW85" s="60"/>
      <c r="RX85" s="60"/>
      <c r="RY85" s="60"/>
      <c r="RZ85" s="60"/>
      <c r="SA85" s="60"/>
      <c r="SB85" s="60"/>
      <c r="SC85" s="60"/>
      <c r="SD85" s="60"/>
      <c r="SE85" s="60"/>
      <c r="SF85" s="60"/>
      <c r="SG85" s="60"/>
      <c r="SH85" s="60"/>
      <c r="SI85" s="60"/>
      <c r="SJ85" s="60"/>
      <c r="SK85" s="60"/>
      <c r="SL85" s="60"/>
      <c r="SM85" s="60"/>
      <c r="SN85" s="60"/>
      <c r="SO85" s="60"/>
      <c r="SP85" s="60"/>
      <c r="SQ85" s="60"/>
      <c r="SR85" s="60"/>
      <c r="SS85" s="60"/>
      <c r="ST85" s="60"/>
      <c r="SU85" s="60"/>
      <c r="SV85" s="60"/>
      <c r="SW85" s="60"/>
      <c r="SX85" s="60"/>
      <c r="SY85" s="60"/>
      <c r="SZ85" s="60"/>
      <c r="TA85" s="60"/>
      <c r="TB85" s="60"/>
      <c r="TC85" s="60"/>
      <c r="TD85" s="60"/>
      <c r="TE85" s="60"/>
      <c r="TF85" s="60"/>
      <c r="TG85" s="60"/>
      <c r="TH85" s="60"/>
      <c r="TI85" s="60"/>
      <c r="TJ85" s="60"/>
      <c r="TK85" s="60"/>
      <c r="TL85" s="60"/>
      <c r="TM85" s="60"/>
      <c r="TN85" s="60"/>
      <c r="TO85" s="60"/>
      <c r="TP85" s="60"/>
      <c r="TQ85" s="60"/>
      <c r="TR85" s="60"/>
      <c r="TS85" s="60"/>
      <c r="TT85" s="60"/>
      <c r="TU85" s="60"/>
      <c r="TV85" s="60"/>
      <c r="TW85" s="60"/>
      <c r="TX85" s="60"/>
      <c r="TY85" s="60"/>
      <c r="TZ85" s="60"/>
      <c r="UA85" s="60"/>
      <c r="UB85" s="60"/>
      <c r="UC85" s="60"/>
      <c r="UD85" s="60"/>
      <c r="UE85" s="60"/>
      <c r="UF85" s="60"/>
      <c r="UG85" s="60"/>
      <c r="UH85" s="60"/>
      <c r="UI85" s="60"/>
      <c r="UJ85" s="60"/>
      <c r="UK85" s="60"/>
      <c r="UL85" s="60"/>
      <c r="UM85" s="60"/>
      <c r="UN85" s="60"/>
      <c r="UO85" s="60"/>
      <c r="UP85" s="60"/>
      <c r="UQ85" s="60"/>
      <c r="UR85" s="60"/>
      <c r="US85" s="60"/>
      <c r="UT85" s="60"/>
      <c r="UU85" s="60"/>
      <c r="UV85" s="60"/>
      <c r="UW85" s="60"/>
      <c r="UX85" s="60"/>
      <c r="UY85" s="60"/>
      <c r="UZ85" s="60"/>
      <c r="VA85" s="60"/>
      <c r="VB85" s="60"/>
      <c r="VC85" s="60"/>
      <c r="VD85" s="60"/>
      <c r="VE85" s="60"/>
      <c r="VF85" s="60"/>
      <c r="VG85" s="60"/>
      <c r="VH85" s="60"/>
      <c r="VI85" s="60"/>
      <c r="VJ85" s="60"/>
      <c r="VK85" s="60"/>
      <c r="VL85" s="60"/>
      <c r="VM85" s="60"/>
      <c r="VN85" s="60"/>
      <c r="VO85" s="60"/>
      <c r="VP85" s="60"/>
      <c r="VQ85" s="60"/>
      <c r="VR85" s="60"/>
      <c r="VS85" s="60"/>
      <c r="VT85" s="60"/>
      <c r="VU85" s="60"/>
      <c r="VV85" s="60"/>
      <c r="VW85" s="60"/>
      <c r="VX85" s="60"/>
      <c r="VY85" s="60"/>
      <c r="VZ85" s="60"/>
      <c r="WA85" s="60"/>
      <c r="WB85" s="60"/>
      <c r="WC85" s="60"/>
      <c r="WD85" s="60"/>
      <c r="WE85" s="60"/>
      <c r="WF85" s="60"/>
      <c r="WG85" s="60"/>
      <c r="WH85" s="60"/>
      <c r="WI85" s="60"/>
      <c r="WJ85" s="60"/>
      <c r="WK85" s="60"/>
      <c r="WL85" s="60"/>
      <c r="WM85" s="60"/>
      <c r="WN85" s="60"/>
      <c r="WO85" s="60"/>
      <c r="WP85" s="60"/>
      <c r="WQ85" s="60"/>
      <c r="WR85" s="60"/>
      <c r="WS85" s="60"/>
      <c r="WT85" s="60"/>
      <c r="WU85" s="60"/>
      <c r="WV85" s="60"/>
      <c r="WW85" s="60"/>
      <c r="WX85" s="60"/>
      <c r="WY85" s="60"/>
      <c r="WZ85" s="60"/>
      <c r="XA85" s="60"/>
      <c r="XB85" s="60"/>
      <c r="XC85" s="60"/>
      <c r="XD85" s="60"/>
      <c r="XE85" s="60"/>
      <c r="XF85" s="60"/>
      <c r="XG85" s="60"/>
      <c r="XH85" s="60"/>
      <c r="XI85" s="60"/>
      <c r="XJ85" s="60"/>
      <c r="XK85" s="60"/>
      <c r="XL85" s="60"/>
      <c r="XM85" s="60"/>
      <c r="XN85" s="60"/>
      <c r="XO85" s="60"/>
      <c r="XP85" s="60"/>
      <c r="XQ85" s="60"/>
      <c r="XR85" s="60"/>
      <c r="XS85" s="60"/>
      <c r="XT85" s="60"/>
      <c r="XU85" s="60"/>
      <c r="XV85" s="60"/>
      <c r="XW85" s="60"/>
      <c r="XX85" s="60"/>
      <c r="XY85" s="60"/>
      <c r="XZ85" s="60"/>
      <c r="YA85" s="60"/>
      <c r="YB85" s="60"/>
      <c r="YC85" s="60"/>
      <c r="YD85" s="60"/>
      <c r="YE85" s="60"/>
      <c r="YF85" s="60"/>
      <c r="YG85" s="60"/>
      <c r="YH85" s="60"/>
      <c r="YI85" s="60"/>
      <c r="YJ85" s="60"/>
      <c r="YK85" s="60"/>
      <c r="YL85" s="60"/>
      <c r="YM85" s="60"/>
      <c r="YN85" s="60"/>
      <c r="YO85" s="60"/>
      <c r="YP85" s="60"/>
      <c r="YQ85" s="60"/>
      <c r="YR85" s="60"/>
      <c r="YS85" s="60"/>
      <c r="YT85" s="60"/>
      <c r="YU85" s="60"/>
      <c r="YV85" s="60"/>
      <c r="YW85" s="60"/>
      <c r="YX85" s="60"/>
      <c r="YY85" s="60"/>
      <c r="YZ85" s="60"/>
      <c r="ZA85" s="60"/>
      <c r="ZB85" s="60"/>
      <c r="ZC85" s="60"/>
      <c r="ZD85" s="60"/>
      <c r="ZE85" s="60"/>
      <c r="ZF85" s="60"/>
      <c r="ZG85" s="60"/>
      <c r="ZH85" s="60"/>
      <c r="ZI85" s="60"/>
      <c r="ZJ85" s="60"/>
      <c r="ZK85" s="60"/>
      <c r="ZL85" s="60"/>
      <c r="ZM85" s="60"/>
      <c r="ZN85" s="60"/>
      <c r="ZO85" s="60"/>
      <c r="ZP85" s="60"/>
      <c r="ZQ85" s="60"/>
      <c r="ZR85" s="60"/>
      <c r="ZS85" s="60"/>
      <c r="ZT85" s="60"/>
      <c r="ZU85" s="60"/>
      <c r="ZV85" s="60"/>
      <c r="ZW85" s="6"/>
      <c r="ZX85" s="6"/>
      <c r="ZY85" s="6"/>
      <c r="ZZ85" s="6"/>
      <c r="AAA85" s="6"/>
      <c r="AAB85" s="6"/>
      <c r="AAC85" s="6"/>
      <c r="AAD85" s="6"/>
      <c r="AAE85" s="6"/>
      <c r="AAF85" s="6"/>
      <c r="AAG85" s="6"/>
      <c r="AAH85" s="6"/>
      <c r="AAI85" s="6"/>
      <c r="AAJ85" s="6"/>
      <c r="AAK85" s="6"/>
      <c r="AAL85" s="6"/>
      <c r="AAM85" s="6"/>
      <c r="AAN85" s="6"/>
      <c r="AAO85" s="6"/>
      <c r="AAP85" s="6"/>
      <c r="AAQ85" s="6"/>
      <c r="AAR85" s="6"/>
      <c r="AAS85" s="6"/>
      <c r="AAT85" s="6"/>
      <c r="AAU85" s="6"/>
      <c r="AAV85" s="6"/>
    </row>
    <row r="86" spans="1:724" s="46" customFormat="1" ht="21" customHeight="1">
      <c r="A86" s="28">
        <v>3</v>
      </c>
      <c r="B86" s="58">
        <v>5305274</v>
      </c>
      <c r="C86" s="27" t="s">
        <v>24</v>
      </c>
      <c r="D86" s="78" t="s">
        <v>50</v>
      </c>
      <c r="E86" s="62">
        <v>31</v>
      </c>
      <c r="F86" s="30">
        <f>VLOOKUP(B86,'Estampados por manguera'!A$2:B$500,2,FALSE)</f>
        <v>2</v>
      </c>
      <c r="G86" s="30">
        <f t="shared" si="73"/>
        <v>62</v>
      </c>
      <c r="H86" s="32">
        <v>6</v>
      </c>
      <c r="I86" s="30">
        <f t="shared" si="74"/>
        <v>372</v>
      </c>
      <c r="J86" s="32">
        <f t="shared" si="75"/>
        <v>180</v>
      </c>
      <c r="K86" s="30">
        <f t="shared" si="76"/>
        <v>552</v>
      </c>
      <c r="L86" s="32">
        <v>1201</v>
      </c>
      <c r="M86" s="30">
        <f>VLOOKUP(B86,'Mangueras por contenedor'!A$2:B$500,2,FALSE)</f>
        <v>60</v>
      </c>
      <c r="N86" s="45">
        <f t="shared" si="77"/>
        <v>0.51666666666666672</v>
      </c>
      <c r="O86" s="11">
        <f t="shared" si="78"/>
        <v>2</v>
      </c>
      <c r="P86" s="32">
        <f t="shared" si="79"/>
        <v>720</v>
      </c>
      <c r="Q86" s="11">
        <f t="shared" si="80"/>
        <v>2</v>
      </c>
      <c r="R86" s="32">
        <f t="shared" si="81"/>
        <v>1440</v>
      </c>
      <c r="S86" s="32">
        <f t="shared" si="82"/>
        <v>4</v>
      </c>
      <c r="T86" s="32">
        <f t="shared" si="83"/>
        <v>120</v>
      </c>
      <c r="U86" s="59" t="str">
        <f t="shared" ref="U86:AD95" si="94">IF(OR(U$79/$S86=1,U$79/$S86=2,U$79/$S86=3,U$79/$S86=4,U$79/$S86=5,U$79/$S86=6,U$79/$S86=7,U$79/$S86=8,U$79/$S86=9,U$79/$S86=10,U$79/$S86=11,U$79/$S86=12,U$79/$S86=13,U$79/$S86=14,U$79/$S86=15,U$79/$S86=16,U$79/$S86=17,U$79/$S86=18,U$79/$S86=19,U$79/$S86=20,U$79/$S86=21,U$79/$S86=22,U$79/$S86=23,U$79/$S86=24,U$79/$S86=25,U$79/$S86=26,U$79/$S86=27,U$79/$S86=28,U$79/$S86=29,U$79/$S86=30,U$79/$S86=31,U$79/$S86=32,U$79/$S86=33),"X","")</f>
        <v/>
      </c>
      <c r="V86" s="59" t="str">
        <f t="shared" si="94"/>
        <v/>
      </c>
      <c r="W86" s="59" t="str">
        <f t="shared" si="94"/>
        <v/>
      </c>
      <c r="X86" s="59" t="str">
        <f t="shared" si="94"/>
        <v>X</v>
      </c>
      <c r="Y86" s="59" t="str">
        <f t="shared" si="94"/>
        <v/>
      </c>
      <c r="Z86" s="59" t="str">
        <f t="shared" si="94"/>
        <v/>
      </c>
      <c r="AA86" s="59" t="str">
        <f t="shared" si="94"/>
        <v/>
      </c>
      <c r="AB86" s="59" t="str">
        <f t="shared" si="94"/>
        <v>X</v>
      </c>
      <c r="AC86" s="59" t="str">
        <f t="shared" si="94"/>
        <v/>
      </c>
      <c r="AD86" s="59" t="str">
        <f t="shared" si="94"/>
        <v/>
      </c>
      <c r="AE86" s="59" t="str">
        <f t="shared" ref="AE86:AP95" si="95">IF(OR(AE$79/$S86=1,AE$79/$S86=2,AE$79/$S86=3,AE$79/$S86=4,AE$79/$S86=5,AE$79/$S86=6,AE$79/$S86=7,AE$79/$S86=8,AE$79/$S86=9,AE$79/$S86=10,AE$79/$S86=11,AE$79/$S86=12,AE$79/$S86=13,AE$79/$S86=14,AE$79/$S86=15,AE$79/$S86=16,AE$79/$S86=17,AE$79/$S86=18,AE$79/$S86=19,AE$79/$S86=20,AE$79/$S86=21,AE$79/$S86=22,AE$79/$S86=23,AE$79/$S86=24,AE$79/$S86=25,AE$79/$S86=26,AE$79/$S86=27,AE$79/$S86=28,AE$79/$S86=29,AE$79/$S86=30,AE$79/$S86=31,AE$79/$S86=32,AE$79/$S86=33),"X","")</f>
        <v/>
      </c>
      <c r="AF86" s="59" t="str">
        <f t="shared" si="95"/>
        <v>X</v>
      </c>
      <c r="AG86" s="59" t="str">
        <f t="shared" si="95"/>
        <v/>
      </c>
      <c r="AH86" s="67" t="str">
        <f t="shared" si="95"/>
        <v/>
      </c>
      <c r="AI86" s="67" t="str">
        <f t="shared" si="95"/>
        <v/>
      </c>
      <c r="AJ86" s="67" t="str">
        <f t="shared" si="95"/>
        <v>X</v>
      </c>
      <c r="AK86" s="67" t="str">
        <f t="shared" si="95"/>
        <v/>
      </c>
      <c r="AL86" s="67" t="str">
        <f t="shared" si="95"/>
        <v/>
      </c>
      <c r="AM86" s="67" t="str">
        <f t="shared" si="95"/>
        <v/>
      </c>
      <c r="AN86" s="67" t="str">
        <f t="shared" si="95"/>
        <v>X</v>
      </c>
      <c r="AO86" s="67" t="str">
        <f t="shared" si="95"/>
        <v/>
      </c>
      <c r="AP86" s="67" t="str">
        <f t="shared" si="95"/>
        <v/>
      </c>
      <c r="AQ86" s="67" t="s">
        <v>202</v>
      </c>
      <c r="AR86" s="67"/>
      <c r="AS86" s="67" t="str">
        <f t="shared" ref="AS86:AV107" si="96">IF(OR(AS$79/$S86=1,AS$79/$S86=2,AS$79/$S86=3,AS$79/$S86=4,AS$79/$S86=5,AS$79/$S86=6,AS$79/$S86=7,AS$79/$S86=8,AS$79/$S86=9,AS$79/$S86=10,AS$79/$S86=11,AS$79/$S86=12,AS$79/$S86=13,AS$79/$S86=14,AS$79/$S86=15,AS$79/$S86=16,AS$79/$S86=17,AS$79/$S86=18,AS$79/$S86=19,AS$79/$S86=20,AS$79/$S86=21,AS$79/$S86=22,AS$79/$S86=23,AS$79/$S86=24,AS$79/$S86=25,AS$79/$S86=26,AS$79/$S86=27,AS$79/$S86=28,AS$79/$S86=29,AS$79/$S86=30,AS$79/$S86=31,AS$79/$S86=32,AS$79/$S86=33),"X","")</f>
        <v/>
      </c>
      <c r="AT86" s="67" t="str">
        <f t="shared" si="96"/>
        <v/>
      </c>
      <c r="AU86" s="68" t="str">
        <f t="shared" si="96"/>
        <v/>
      </c>
      <c r="AV86" s="68" t="str">
        <f t="shared" si="96"/>
        <v>X</v>
      </c>
      <c r="AW86" s="68" t="str">
        <f t="shared" si="93"/>
        <v/>
      </c>
      <c r="AX86" s="68" t="str">
        <f t="shared" si="93"/>
        <v/>
      </c>
      <c r="AY86" s="68" t="str">
        <f t="shared" si="92"/>
        <v/>
      </c>
      <c r="AZ86" s="68" t="str">
        <f t="shared" si="88"/>
        <v>X</v>
      </c>
      <c r="BA86" s="68" t="str">
        <f t="shared" si="88"/>
        <v/>
      </c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/>
      <c r="CI86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  <c r="LI86" s="60"/>
      <c r="LJ86" s="60"/>
      <c r="LK86" s="60"/>
      <c r="LL86" s="60"/>
      <c r="LM86" s="60"/>
      <c r="LN86" s="60"/>
      <c r="LO86" s="60"/>
      <c r="LP86" s="60"/>
      <c r="LQ86" s="60"/>
      <c r="LR86" s="60"/>
      <c r="LS86" s="60"/>
      <c r="LT86" s="60"/>
      <c r="LU86" s="60"/>
      <c r="LV86" s="60"/>
      <c r="LW86" s="60"/>
      <c r="LX86" s="60"/>
      <c r="LY86" s="60"/>
      <c r="LZ86" s="60"/>
      <c r="MA86" s="60"/>
      <c r="MB86" s="60"/>
      <c r="MC86" s="60"/>
      <c r="MD86" s="60"/>
      <c r="ME86" s="60"/>
      <c r="MF86" s="60"/>
      <c r="MG86" s="60"/>
      <c r="MH86" s="60"/>
      <c r="MI86" s="60"/>
      <c r="MJ86" s="60"/>
      <c r="MK86" s="60"/>
      <c r="ML86" s="60"/>
      <c r="MM86" s="60"/>
      <c r="MN86" s="60"/>
      <c r="MO86" s="60"/>
      <c r="MP86" s="60"/>
      <c r="MQ86" s="60"/>
      <c r="MR86" s="60"/>
      <c r="MS86" s="60"/>
      <c r="MT86" s="60"/>
      <c r="MU86" s="60"/>
      <c r="MV86" s="60"/>
      <c r="MW86" s="60"/>
      <c r="MX86" s="60"/>
      <c r="MY86" s="60"/>
      <c r="MZ86" s="60"/>
      <c r="NA86" s="60"/>
      <c r="NB86" s="60"/>
      <c r="NC86" s="60"/>
      <c r="ND86" s="60"/>
      <c r="NE86" s="60"/>
      <c r="NF86" s="60"/>
      <c r="NG86" s="60"/>
      <c r="NH86" s="60"/>
      <c r="NI86" s="60"/>
      <c r="NJ86" s="60"/>
      <c r="NK86" s="60"/>
      <c r="NL86" s="60"/>
      <c r="NM86" s="60"/>
      <c r="NN86" s="60"/>
      <c r="NO86" s="60"/>
      <c r="NP86" s="60"/>
      <c r="NQ86" s="60"/>
      <c r="NR86" s="60"/>
      <c r="NS86" s="60"/>
      <c r="NT86" s="60"/>
      <c r="NU86" s="60"/>
      <c r="NV86" s="60"/>
      <c r="NW86" s="60"/>
      <c r="NX86" s="60"/>
      <c r="NY86" s="60"/>
      <c r="NZ86" s="60"/>
      <c r="OA86" s="60"/>
      <c r="OB86" s="60"/>
      <c r="OC86" s="60"/>
      <c r="OD86" s="60"/>
      <c r="OE86" s="60"/>
      <c r="OF86" s="60"/>
      <c r="OG86" s="60"/>
      <c r="OH86" s="60"/>
      <c r="OI86" s="60"/>
      <c r="OJ86" s="60"/>
      <c r="OK86" s="60"/>
      <c r="OL86" s="60"/>
      <c r="OM86" s="60"/>
      <c r="ON86" s="60"/>
      <c r="OO86" s="60"/>
      <c r="OP86" s="60"/>
      <c r="OQ86" s="60"/>
      <c r="OR86" s="60"/>
      <c r="OS86" s="60"/>
      <c r="OT86" s="60"/>
      <c r="OU86" s="60"/>
      <c r="OV86" s="60"/>
      <c r="OW86" s="60"/>
      <c r="OX86" s="60"/>
      <c r="OY86" s="60"/>
      <c r="OZ86" s="60"/>
      <c r="PA86" s="60"/>
      <c r="PB86" s="60"/>
      <c r="PC86" s="60"/>
      <c r="PD86" s="60"/>
      <c r="PE86" s="60"/>
      <c r="PF86" s="60"/>
      <c r="PG86" s="60"/>
      <c r="PH86" s="60"/>
      <c r="PI86" s="60"/>
      <c r="PJ86" s="60"/>
      <c r="PK86" s="60"/>
      <c r="PL86" s="60"/>
      <c r="PM86" s="60"/>
      <c r="PN86" s="60"/>
      <c r="PO86" s="60"/>
      <c r="PP86" s="60"/>
      <c r="PQ86" s="60"/>
      <c r="PR86" s="60"/>
      <c r="PS86" s="60"/>
      <c r="PT86" s="60"/>
      <c r="PU86" s="60"/>
      <c r="PV86" s="60"/>
      <c r="PW86" s="60"/>
      <c r="PX86" s="60"/>
      <c r="PY86" s="60"/>
      <c r="PZ86" s="60"/>
      <c r="QA86" s="60"/>
      <c r="QB86" s="60"/>
      <c r="QC86" s="60"/>
      <c r="QD86" s="60"/>
      <c r="QE86" s="60"/>
      <c r="QF86" s="60"/>
      <c r="QG86" s="60"/>
      <c r="QH86" s="60"/>
      <c r="QI86" s="60"/>
      <c r="QJ86" s="60"/>
      <c r="QK86" s="60"/>
      <c r="QL86" s="60"/>
      <c r="QM86" s="60"/>
      <c r="QN86" s="60"/>
      <c r="QO86" s="60"/>
      <c r="QP86" s="60"/>
      <c r="QQ86" s="60"/>
      <c r="QR86" s="60"/>
      <c r="QS86" s="60"/>
      <c r="QT86" s="60"/>
      <c r="QU86" s="60"/>
      <c r="QV86" s="60"/>
      <c r="QW86" s="60"/>
      <c r="QX86" s="60"/>
      <c r="QY86" s="60"/>
      <c r="QZ86" s="60"/>
      <c r="RA86" s="60"/>
      <c r="RB86" s="60"/>
      <c r="RC86" s="60"/>
      <c r="RD86" s="60"/>
      <c r="RE86" s="60"/>
      <c r="RF86" s="60"/>
      <c r="RG86" s="60"/>
      <c r="RH86" s="60"/>
      <c r="RI86" s="60"/>
      <c r="RJ86" s="60"/>
      <c r="RK86" s="60"/>
      <c r="RL86" s="60"/>
      <c r="RM86" s="60"/>
      <c r="RN86" s="60"/>
      <c r="RO86" s="60"/>
      <c r="RP86" s="60"/>
      <c r="RQ86" s="60"/>
      <c r="RR86" s="60"/>
      <c r="RS86" s="60"/>
      <c r="RT86" s="60"/>
      <c r="RU86" s="60"/>
      <c r="RV86" s="60"/>
      <c r="RW86" s="60"/>
      <c r="RX86" s="60"/>
      <c r="RY86" s="60"/>
      <c r="RZ86" s="60"/>
      <c r="SA86" s="60"/>
      <c r="SB86" s="60"/>
      <c r="SC86" s="60"/>
      <c r="SD86" s="60"/>
      <c r="SE86" s="60"/>
      <c r="SF86" s="60"/>
      <c r="SG86" s="60"/>
      <c r="SH86" s="60"/>
      <c r="SI86" s="60"/>
      <c r="SJ86" s="60"/>
      <c r="SK86" s="60"/>
      <c r="SL86" s="60"/>
      <c r="SM86" s="60"/>
      <c r="SN86" s="60"/>
      <c r="SO86" s="60"/>
      <c r="SP86" s="60"/>
      <c r="SQ86" s="60"/>
      <c r="SR86" s="60"/>
      <c r="SS86" s="60"/>
      <c r="ST86" s="60"/>
      <c r="SU86" s="60"/>
      <c r="SV86" s="60"/>
      <c r="SW86" s="60"/>
      <c r="SX86" s="60"/>
      <c r="SY86" s="60"/>
      <c r="SZ86" s="60"/>
      <c r="TA86" s="60"/>
      <c r="TB86" s="60"/>
      <c r="TC86" s="60"/>
      <c r="TD86" s="60"/>
      <c r="TE86" s="60"/>
      <c r="TF86" s="60"/>
      <c r="TG86" s="60"/>
      <c r="TH86" s="60"/>
      <c r="TI86" s="60"/>
      <c r="TJ86" s="60"/>
      <c r="TK86" s="60"/>
      <c r="TL86" s="60"/>
      <c r="TM86" s="60"/>
      <c r="TN86" s="60"/>
      <c r="TO86" s="60"/>
      <c r="TP86" s="60"/>
      <c r="TQ86" s="60"/>
      <c r="TR86" s="60"/>
      <c r="TS86" s="60"/>
      <c r="TT86" s="60"/>
      <c r="TU86" s="60"/>
      <c r="TV86" s="60"/>
      <c r="TW86" s="60"/>
      <c r="TX86" s="60"/>
      <c r="TY86" s="60"/>
      <c r="TZ86" s="60"/>
      <c r="UA86" s="60"/>
      <c r="UB86" s="60"/>
      <c r="UC86" s="60"/>
      <c r="UD86" s="60"/>
      <c r="UE86" s="60"/>
      <c r="UF86" s="60"/>
      <c r="UG86" s="60"/>
      <c r="UH86" s="60"/>
      <c r="UI86" s="60"/>
      <c r="UJ86" s="60"/>
      <c r="UK86" s="60"/>
      <c r="UL86" s="60"/>
      <c r="UM86" s="60"/>
      <c r="UN86" s="60"/>
      <c r="UO86" s="60"/>
      <c r="UP86" s="60"/>
      <c r="UQ86" s="60"/>
      <c r="UR86" s="60"/>
      <c r="US86" s="60"/>
      <c r="UT86" s="60"/>
      <c r="UU86" s="60"/>
      <c r="UV86" s="60"/>
      <c r="UW86" s="60"/>
      <c r="UX86" s="60"/>
      <c r="UY86" s="60"/>
      <c r="UZ86" s="60"/>
      <c r="VA86" s="60"/>
      <c r="VB86" s="60"/>
      <c r="VC86" s="60"/>
      <c r="VD86" s="60"/>
      <c r="VE86" s="60"/>
      <c r="VF86" s="60"/>
      <c r="VG86" s="60"/>
      <c r="VH86" s="60"/>
      <c r="VI86" s="60"/>
      <c r="VJ86" s="60"/>
      <c r="VK86" s="60"/>
      <c r="VL86" s="60"/>
      <c r="VM86" s="60"/>
      <c r="VN86" s="60"/>
      <c r="VO86" s="60"/>
      <c r="VP86" s="60"/>
      <c r="VQ86" s="60"/>
      <c r="VR86" s="60"/>
      <c r="VS86" s="60"/>
      <c r="VT86" s="60"/>
      <c r="VU86" s="60"/>
      <c r="VV86" s="60"/>
      <c r="VW86" s="60"/>
      <c r="VX86" s="60"/>
      <c r="VY86" s="60"/>
      <c r="VZ86" s="60"/>
      <c r="WA86" s="60"/>
      <c r="WB86" s="60"/>
      <c r="WC86" s="60"/>
      <c r="WD86" s="60"/>
      <c r="WE86" s="60"/>
      <c r="WF86" s="60"/>
      <c r="WG86" s="60"/>
      <c r="WH86" s="60"/>
      <c r="WI86" s="60"/>
      <c r="WJ86" s="60"/>
      <c r="WK86" s="60"/>
      <c r="WL86" s="60"/>
      <c r="WM86" s="60"/>
      <c r="WN86" s="60"/>
      <c r="WO86" s="60"/>
      <c r="WP86" s="60"/>
      <c r="WQ86" s="60"/>
      <c r="WR86" s="60"/>
      <c r="WS86" s="60"/>
      <c r="WT86" s="60"/>
      <c r="WU86" s="60"/>
      <c r="WV86" s="60"/>
      <c r="WW86" s="60"/>
      <c r="WX86" s="60"/>
      <c r="WY86" s="60"/>
      <c r="WZ86" s="60"/>
      <c r="XA86" s="60"/>
      <c r="XB86" s="60"/>
      <c r="XC86" s="60"/>
      <c r="XD86" s="60"/>
      <c r="XE86" s="60"/>
      <c r="XF86" s="60"/>
      <c r="XG86" s="60"/>
      <c r="XH86" s="60"/>
      <c r="XI86" s="60"/>
      <c r="XJ86" s="60"/>
      <c r="XK86" s="60"/>
      <c r="XL86" s="60"/>
      <c r="XM86" s="60"/>
      <c r="XN86" s="60"/>
      <c r="XO86" s="60"/>
      <c r="XP86" s="60"/>
      <c r="XQ86" s="60"/>
      <c r="XR86" s="60"/>
      <c r="XS86" s="60"/>
      <c r="XT86" s="60"/>
      <c r="XU86" s="60"/>
      <c r="XV86" s="60"/>
      <c r="XW86" s="60"/>
      <c r="XX86" s="60"/>
      <c r="XY86" s="60"/>
      <c r="XZ86" s="60"/>
      <c r="YA86" s="60"/>
      <c r="YB86" s="60"/>
      <c r="YC86" s="60"/>
      <c r="YD86" s="60"/>
      <c r="YE86" s="60"/>
      <c r="YF86" s="60"/>
      <c r="YG86" s="60"/>
      <c r="YH86" s="60"/>
      <c r="YI86" s="60"/>
      <c r="YJ86" s="60"/>
      <c r="YK86" s="60"/>
      <c r="YL86" s="60"/>
      <c r="YM86" s="60"/>
      <c r="YN86" s="60"/>
      <c r="YO86" s="60"/>
      <c r="YP86" s="60"/>
      <c r="YQ86" s="60"/>
      <c r="YR86" s="60"/>
      <c r="YS86" s="60"/>
      <c r="YT86" s="60"/>
      <c r="YU86" s="60"/>
      <c r="YV86" s="60"/>
      <c r="YW86" s="60"/>
      <c r="YX86" s="60"/>
      <c r="YY86" s="60"/>
      <c r="YZ86" s="60"/>
      <c r="ZA86" s="60"/>
      <c r="ZB86" s="60"/>
      <c r="ZC86" s="60"/>
      <c r="ZD86" s="60"/>
      <c r="ZE86" s="60"/>
      <c r="ZF86" s="60"/>
      <c r="ZG86" s="60"/>
      <c r="ZH86" s="60"/>
      <c r="ZI86" s="60"/>
      <c r="ZJ86" s="60"/>
      <c r="ZK86" s="60"/>
      <c r="ZL86" s="60"/>
      <c r="ZM86" s="60"/>
      <c r="ZN86" s="60"/>
      <c r="ZO86" s="60"/>
      <c r="ZP86" s="60"/>
      <c r="ZQ86" s="60"/>
      <c r="ZR86" s="60"/>
      <c r="ZS86" s="60"/>
      <c r="ZT86" s="60"/>
      <c r="ZU86" s="60"/>
      <c r="ZV86" s="60"/>
      <c r="ZW86" s="60"/>
      <c r="ZX86" s="60"/>
      <c r="ZY86" s="60"/>
      <c r="ZZ86" s="60"/>
      <c r="AAA86" s="60"/>
      <c r="AAB86" s="60"/>
      <c r="AAC86" s="60"/>
      <c r="AAD86" s="60"/>
      <c r="AAE86" s="60"/>
      <c r="AAF86" s="60"/>
      <c r="AAG86" s="60"/>
      <c r="AAH86" s="60"/>
      <c r="AAI86" s="60"/>
      <c r="AAJ86" s="60"/>
      <c r="AAK86" s="60"/>
      <c r="AAL86" s="60"/>
      <c r="AAM86" s="60"/>
      <c r="AAN86" s="60"/>
      <c r="AAO86" s="60"/>
      <c r="AAP86" s="60"/>
      <c r="AAQ86" s="60"/>
      <c r="AAR86" s="60"/>
      <c r="AAS86" s="60"/>
      <c r="AAT86" s="60"/>
      <c r="AAU86" s="60"/>
      <c r="AAV86" s="60"/>
    </row>
    <row r="87" spans="1:724" s="46" customFormat="1" ht="21" customHeight="1">
      <c r="A87" s="28">
        <v>3</v>
      </c>
      <c r="B87" s="58">
        <v>5204259</v>
      </c>
      <c r="C87" s="27" t="s">
        <v>82</v>
      </c>
      <c r="D87" s="78" t="s">
        <v>118</v>
      </c>
      <c r="E87" s="62">
        <v>32</v>
      </c>
      <c r="F87" s="31">
        <f>VLOOKUP(B87,'Estampados por manguera'!A$2:B$500,2,FALSE)</f>
        <v>4</v>
      </c>
      <c r="G87" s="31">
        <f t="shared" si="73"/>
        <v>128</v>
      </c>
      <c r="H87" s="32">
        <v>6</v>
      </c>
      <c r="I87" s="29">
        <f t="shared" si="74"/>
        <v>768</v>
      </c>
      <c r="J87" s="32">
        <f t="shared" si="75"/>
        <v>180</v>
      </c>
      <c r="K87" s="31">
        <f t="shared" si="76"/>
        <v>948</v>
      </c>
      <c r="L87" s="11">
        <v>1200</v>
      </c>
      <c r="M87" s="31">
        <f>VLOOKUP(B87,'Mangueras por contenedor'!A$2:B$500,2,FALSE)</f>
        <v>55</v>
      </c>
      <c r="N87" s="35">
        <f t="shared" si="77"/>
        <v>0.58181818181818179</v>
      </c>
      <c r="O87" s="11">
        <f t="shared" si="78"/>
        <v>2</v>
      </c>
      <c r="P87" s="11">
        <f t="shared" si="79"/>
        <v>1320</v>
      </c>
      <c r="Q87" s="11">
        <f t="shared" si="80"/>
        <v>2</v>
      </c>
      <c r="R87" s="32">
        <f t="shared" si="81"/>
        <v>2640</v>
      </c>
      <c r="S87" s="32">
        <f t="shared" si="82"/>
        <v>4</v>
      </c>
      <c r="T87" s="32">
        <f t="shared" si="83"/>
        <v>110</v>
      </c>
      <c r="U87" s="59" t="str">
        <f t="shared" si="94"/>
        <v/>
      </c>
      <c r="V87" s="59" t="str">
        <f t="shared" si="94"/>
        <v/>
      </c>
      <c r="W87" s="59" t="str">
        <f t="shared" si="94"/>
        <v/>
      </c>
      <c r="X87" s="59" t="str">
        <f t="shared" si="94"/>
        <v>X</v>
      </c>
      <c r="Y87" s="59" t="str">
        <f t="shared" si="94"/>
        <v/>
      </c>
      <c r="Z87" s="59" t="str">
        <f t="shared" si="94"/>
        <v/>
      </c>
      <c r="AA87" s="59" t="str">
        <f t="shared" si="94"/>
        <v/>
      </c>
      <c r="AB87" s="59" t="str">
        <f t="shared" si="94"/>
        <v>X</v>
      </c>
      <c r="AC87" s="59" t="str">
        <f t="shared" si="94"/>
        <v/>
      </c>
      <c r="AD87" s="59" t="str">
        <f t="shared" si="94"/>
        <v/>
      </c>
      <c r="AE87" s="59" t="str">
        <f t="shared" si="95"/>
        <v/>
      </c>
      <c r="AF87" s="59" t="str">
        <f t="shared" si="95"/>
        <v>X</v>
      </c>
      <c r="AG87" s="59" t="str">
        <f t="shared" si="95"/>
        <v/>
      </c>
      <c r="AH87" s="67" t="str">
        <f t="shared" si="95"/>
        <v/>
      </c>
      <c r="AI87" s="67" t="str">
        <f t="shared" si="95"/>
        <v/>
      </c>
      <c r="AJ87" s="67" t="str">
        <f t="shared" si="95"/>
        <v>X</v>
      </c>
      <c r="AK87" s="67" t="str">
        <f t="shared" si="95"/>
        <v/>
      </c>
      <c r="AL87" s="67" t="str">
        <f t="shared" si="95"/>
        <v/>
      </c>
      <c r="AM87" s="67" t="str">
        <f t="shared" si="95"/>
        <v/>
      </c>
      <c r="AN87" s="67" t="str">
        <f t="shared" si="95"/>
        <v>X</v>
      </c>
      <c r="AO87" s="67" t="str">
        <f t="shared" si="95"/>
        <v/>
      </c>
      <c r="AP87" s="67" t="str">
        <f t="shared" si="95"/>
        <v/>
      </c>
      <c r="AQ87" s="67" t="s">
        <v>202</v>
      </c>
      <c r="AR87" s="67"/>
      <c r="AS87" s="67" t="str">
        <f t="shared" si="96"/>
        <v/>
      </c>
      <c r="AT87" s="67" t="str">
        <f t="shared" si="96"/>
        <v/>
      </c>
      <c r="AU87" s="68" t="str">
        <f t="shared" si="96"/>
        <v/>
      </c>
      <c r="AV87" s="68" t="str">
        <f t="shared" si="96"/>
        <v>X</v>
      </c>
      <c r="AW87" s="68" t="str">
        <f t="shared" si="93"/>
        <v/>
      </c>
      <c r="AX87" s="68" t="str">
        <f t="shared" si="93"/>
        <v/>
      </c>
      <c r="AY87" s="68" t="str">
        <f t="shared" si="92"/>
        <v/>
      </c>
      <c r="AZ87" s="68" t="str">
        <f t="shared" si="88"/>
        <v>X</v>
      </c>
      <c r="BA87" s="68" t="str">
        <f t="shared" si="88"/>
        <v/>
      </c>
      <c r="BB87" s="81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/>
      <c r="CI87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  <c r="LI87" s="60"/>
      <c r="LJ87" s="60"/>
      <c r="LK87" s="60"/>
      <c r="LL87" s="60"/>
      <c r="LM87" s="60"/>
      <c r="LN87" s="60"/>
      <c r="LO87" s="60"/>
      <c r="LP87" s="60"/>
      <c r="LQ87" s="60"/>
      <c r="LR87" s="60"/>
      <c r="LS87" s="60"/>
      <c r="LT87" s="60"/>
      <c r="LU87" s="60"/>
      <c r="LV87" s="60"/>
      <c r="LW87" s="60"/>
      <c r="LX87" s="60"/>
      <c r="LY87" s="60"/>
      <c r="LZ87" s="60"/>
      <c r="MA87" s="60"/>
      <c r="MB87" s="60"/>
      <c r="MC87" s="60"/>
      <c r="MD87" s="60"/>
      <c r="ME87" s="60"/>
      <c r="MF87" s="60"/>
      <c r="MG87" s="60"/>
      <c r="MH87" s="60"/>
      <c r="MI87" s="60"/>
      <c r="MJ87" s="60"/>
      <c r="MK87" s="60"/>
      <c r="ML87" s="60"/>
      <c r="MM87" s="60"/>
      <c r="MN87" s="60"/>
      <c r="MO87" s="60"/>
      <c r="MP87" s="60"/>
      <c r="MQ87" s="60"/>
      <c r="MR87" s="60"/>
      <c r="MS87" s="60"/>
      <c r="MT87" s="60"/>
      <c r="MU87" s="60"/>
      <c r="MV87" s="60"/>
      <c r="MW87" s="60"/>
      <c r="MX87" s="60"/>
      <c r="MY87" s="60"/>
      <c r="MZ87" s="60"/>
      <c r="NA87" s="60"/>
      <c r="NB87" s="60"/>
      <c r="NC87" s="60"/>
      <c r="ND87" s="60"/>
      <c r="NE87" s="60"/>
      <c r="NF87" s="60"/>
      <c r="NG87" s="60"/>
      <c r="NH87" s="60"/>
      <c r="NI87" s="60"/>
      <c r="NJ87" s="60"/>
      <c r="NK87" s="60"/>
      <c r="NL87" s="60"/>
      <c r="NM87" s="60"/>
      <c r="NN87" s="60"/>
      <c r="NO87" s="60"/>
      <c r="NP87" s="60"/>
      <c r="NQ87" s="60"/>
      <c r="NR87" s="60"/>
      <c r="NS87" s="60"/>
      <c r="NT87" s="60"/>
      <c r="NU87" s="60"/>
      <c r="NV87" s="60"/>
      <c r="NW87" s="60"/>
      <c r="NX87" s="60"/>
      <c r="NY87" s="60"/>
      <c r="NZ87" s="60"/>
      <c r="OA87" s="60"/>
      <c r="OB87" s="60"/>
      <c r="OC87" s="60"/>
      <c r="OD87" s="60"/>
      <c r="OE87" s="60"/>
      <c r="OF87" s="60"/>
      <c r="OG87" s="60"/>
      <c r="OH87" s="60"/>
      <c r="OI87" s="60"/>
      <c r="OJ87" s="60"/>
      <c r="OK87" s="60"/>
      <c r="OL87" s="60"/>
      <c r="OM87" s="60"/>
      <c r="ON87" s="60"/>
      <c r="OO87" s="60"/>
      <c r="OP87" s="60"/>
      <c r="OQ87" s="60"/>
      <c r="OR87" s="60"/>
      <c r="OS87" s="60"/>
      <c r="OT87" s="60"/>
      <c r="OU87" s="60"/>
      <c r="OV87" s="60"/>
      <c r="OW87" s="60"/>
      <c r="OX87" s="60"/>
      <c r="OY87" s="60"/>
      <c r="OZ87" s="60"/>
      <c r="PA87" s="60"/>
      <c r="PB87" s="60"/>
      <c r="PC87" s="60"/>
      <c r="PD87" s="60"/>
      <c r="PE87" s="60"/>
      <c r="PF87" s="60"/>
      <c r="PG87" s="60"/>
      <c r="PH87" s="60"/>
      <c r="PI87" s="60"/>
      <c r="PJ87" s="60"/>
      <c r="PK87" s="60"/>
      <c r="PL87" s="60"/>
      <c r="PM87" s="60"/>
      <c r="PN87" s="60"/>
      <c r="PO87" s="60"/>
      <c r="PP87" s="60"/>
      <c r="PQ87" s="60"/>
      <c r="PR87" s="60"/>
      <c r="PS87" s="60"/>
      <c r="PT87" s="60"/>
      <c r="PU87" s="60"/>
      <c r="PV87" s="60"/>
      <c r="PW87" s="60"/>
      <c r="PX87" s="60"/>
      <c r="PY87" s="60"/>
      <c r="PZ87" s="60"/>
      <c r="QA87" s="60"/>
      <c r="QB87" s="60"/>
      <c r="QC87" s="60"/>
      <c r="QD87" s="60"/>
      <c r="QE87" s="60"/>
      <c r="QF87" s="60"/>
      <c r="QG87" s="60"/>
      <c r="QH87" s="60"/>
      <c r="QI87" s="60"/>
      <c r="QJ87" s="60"/>
      <c r="QK87" s="60"/>
      <c r="QL87" s="60"/>
      <c r="QM87" s="60"/>
      <c r="QN87" s="60"/>
      <c r="QO87" s="60"/>
      <c r="QP87" s="60"/>
      <c r="QQ87" s="60"/>
      <c r="QR87" s="60"/>
      <c r="QS87" s="60"/>
      <c r="QT87" s="60"/>
      <c r="QU87" s="60"/>
      <c r="QV87" s="60"/>
      <c r="QW87" s="60"/>
      <c r="QX87" s="60"/>
      <c r="QY87" s="60"/>
      <c r="QZ87" s="60"/>
      <c r="RA87" s="60"/>
      <c r="RB87" s="60"/>
      <c r="RC87" s="60"/>
      <c r="RD87" s="60"/>
      <c r="RE87" s="60"/>
      <c r="RF87" s="60"/>
      <c r="RG87" s="60"/>
      <c r="RH87" s="60"/>
      <c r="RI87" s="60"/>
      <c r="RJ87" s="60"/>
      <c r="RK87" s="60"/>
      <c r="RL87" s="60"/>
      <c r="RM87" s="60"/>
      <c r="RN87" s="60"/>
      <c r="RO87" s="60"/>
      <c r="RP87" s="60"/>
      <c r="RQ87" s="60"/>
      <c r="RR87" s="60"/>
      <c r="RS87" s="60"/>
      <c r="RT87" s="60"/>
      <c r="RU87" s="60"/>
      <c r="RV87" s="60"/>
      <c r="RW87" s="60"/>
      <c r="RX87" s="60"/>
      <c r="RY87" s="60"/>
      <c r="RZ87" s="60"/>
      <c r="SA87" s="60"/>
      <c r="SB87" s="60"/>
      <c r="SC87" s="60"/>
      <c r="SD87" s="60"/>
      <c r="SE87" s="60"/>
      <c r="SF87" s="60"/>
      <c r="SG87" s="60"/>
      <c r="SH87" s="60"/>
      <c r="SI87" s="60"/>
      <c r="SJ87" s="60"/>
      <c r="SK87" s="60"/>
      <c r="SL87" s="60"/>
      <c r="SM87" s="60"/>
      <c r="SN87" s="60"/>
      <c r="SO87" s="60"/>
      <c r="SP87" s="60"/>
      <c r="SQ87" s="60"/>
      <c r="SR87" s="60"/>
      <c r="SS87" s="60"/>
      <c r="ST87" s="60"/>
      <c r="SU87" s="60"/>
      <c r="SV87" s="60"/>
      <c r="SW87" s="60"/>
      <c r="SX87" s="60"/>
      <c r="SY87" s="60"/>
      <c r="SZ87" s="60"/>
      <c r="TA87" s="60"/>
      <c r="TB87" s="60"/>
      <c r="TC87" s="60"/>
      <c r="TD87" s="60"/>
      <c r="TE87" s="60"/>
      <c r="TF87" s="60"/>
      <c r="TG87" s="60"/>
      <c r="TH87" s="60"/>
      <c r="TI87" s="60"/>
      <c r="TJ87" s="60"/>
      <c r="TK87" s="60"/>
      <c r="TL87" s="60"/>
      <c r="TM87" s="60"/>
      <c r="TN87" s="60"/>
      <c r="TO87" s="60"/>
      <c r="TP87" s="60"/>
      <c r="TQ87" s="60"/>
      <c r="TR87" s="60"/>
      <c r="TS87" s="60"/>
      <c r="TT87" s="60"/>
      <c r="TU87" s="60"/>
      <c r="TV87" s="60"/>
      <c r="TW87" s="60"/>
      <c r="TX87" s="60"/>
      <c r="TY87" s="60"/>
      <c r="TZ87" s="60"/>
      <c r="UA87" s="60"/>
      <c r="UB87" s="60"/>
      <c r="UC87" s="60"/>
      <c r="UD87" s="60"/>
      <c r="UE87" s="60"/>
      <c r="UF87" s="60"/>
      <c r="UG87" s="60"/>
      <c r="UH87" s="60"/>
      <c r="UI87" s="60"/>
      <c r="UJ87" s="60"/>
      <c r="UK87" s="60"/>
      <c r="UL87" s="60"/>
      <c r="UM87" s="60"/>
      <c r="UN87" s="60"/>
      <c r="UO87" s="60"/>
      <c r="UP87" s="60"/>
      <c r="UQ87" s="60"/>
      <c r="UR87" s="60"/>
      <c r="US87" s="60"/>
      <c r="UT87" s="60"/>
      <c r="UU87" s="60"/>
      <c r="UV87" s="60"/>
      <c r="UW87" s="60"/>
      <c r="UX87" s="60"/>
      <c r="UY87" s="60"/>
      <c r="UZ87" s="60"/>
      <c r="VA87" s="60"/>
      <c r="VB87" s="60"/>
      <c r="VC87" s="60"/>
      <c r="VD87" s="60"/>
      <c r="VE87" s="60"/>
      <c r="VF87" s="60"/>
      <c r="VG87" s="60"/>
      <c r="VH87" s="60"/>
      <c r="VI87" s="60"/>
      <c r="VJ87" s="60"/>
      <c r="VK87" s="60"/>
      <c r="VL87" s="60"/>
      <c r="VM87" s="60"/>
      <c r="VN87" s="60"/>
      <c r="VO87" s="60"/>
      <c r="VP87" s="60"/>
      <c r="VQ87" s="60"/>
      <c r="VR87" s="60"/>
      <c r="VS87" s="60"/>
      <c r="VT87" s="60"/>
      <c r="VU87" s="60"/>
      <c r="VV87" s="60"/>
      <c r="VW87" s="60"/>
      <c r="VX87" s="60"/>
      <c r="VY87" s="60"/>
      <c r="VZ87" s="60"/>
      <c r="WA87" s="60"/>
      <c r="WB87" s="60"/>
      <c r="WC87" s="60"/>
      <c r="WD87" s="60"/>
      <c r="WE87" s="60"/>
      <c r="WF87" s="60"/>
      <c r="WG87" s="60"/>
      <c r="WH87" s="60"/>
      <c r="WI87" s="60"/>
      <c r="WJ87" s="60"/>
      <c r="WK87" s="60"/>
      <c r="WL87" s="60"/>
      <c r="WM87" s="60"/>
      <c r="WN87" s="60"/>
      <c r="WO87" s="60"/>
      <c r="WP87" s="60"/>
      <c r="WQ87" s="60"/>
      <c r="WR87" s="60"/>
      <c r="WS87" s="60"/>
      <c r="WT87" s="60"/>
      <c r="WU87" s="60"/>
      <c r="WV87" s="60"/>
      <c r="WW87" s="60"/>
      <c r="WX87" s="60"/>
      <c r="WY87" s="60"/>
      <c r="WZ87" s="60"/>
      <c r="XA87" s="60"/>
      <c r="XB87" s="60"/>
      <c r="XC87" s="60"/>
      <c r="XD87" s="60"/>
      <c r="XE87" s="60"/>
      <c r="XF87" s="60"/>
      <c r="XG87" s="60"/>
      <c r="XH87" s="60"/>
      <c r="XI87" s="60"/>
      <c r="XJ87" s="60"/>
      <c r="XK87" s="60"/>
      <c r="XL87" s="60"/>
      <c r="XM87" s="60"/>
      <c r="XN87" s="60"/>
      <c r="XO87" s="60"/>
      <c r="XP87" s="60"/>
      <c r="XQ87" s="60"/>
      <c r="XR87" s="60"/>
      <c r="XS87" s="60"/>
      <c r="XT87" s="60"/>
      <c r="XU87" s="60"/>
      <c r="XV87" s="60"/>
      <c r="XW87" s="60"/>
      <c r="XX87" s="60"/>
      <c r="XY87" s="60"/>
      <c r="XZ87" s="60"/>
      <c r="YA87" s="60"/>
      <c r="YB87" s="60"/>
      <c r="YC87" s="60"/>
      <c r="YD87" s="60"/>
      <c r="YE87" s="60"/>
      <c r="YF87" s="60"/>
      <c r="YG87" s="60"/>
      <c r="YH87" s="60"/>
      <c r="YI87" s="60"/>
      <c r="YJ87" s="60"/>
      <c r="YK87" s="60"/>
      <c r="YL87" s="60"/>
      <c r="YM87" s="60"/>
      <c r="YN87" s="60"/>
      <c r="YO87" s="60"/>
      <c r="YP87" s="60"/>
      <c r="YQ87" s="60"/>
      <c r="YR87" s="60"/>
      <c r="YS87" s="60"/>
      <c r="YT87" s="60"/>
      <c r="YU87" s="60"/>
      <c r="YV87" s="60"/>
      <c r="YW87" s="60"/>
      <c r="YX87" s="60"/>
      <c r="YY87" s="60"/>
      <c r="YZ87" s="60"/>
      <c r="ZA87" s="60"/>
      <c r="ZB87" s="60"/>
      <c r="ZC87" s="60"/>
      <c r="ZD87" s="60"/>
      <c r="ZE87" s="60"/>
      <c r="ZF87" s="60"/>
      <c r="ZG87" s="60"/>
      <c r="ZH87" s="60"/>
      <c r="ZI87" s="60"/>
      <c r="ZJ87" s="60"/>
      <c r="ZK87" s="60"/>
      <c r="ZL87" s="60"/>
      <c r="ZM87" s="60"/>
      <c r="ZN87" s="60"/>
      <c r="ZO87" s="60"/>
      <c r="ZP87" s="60"/>
      <c r="ZQ87" s="60"/>
      <c r="ZR87" s="60"/>
      <c r="ZS87" s="60"/>
      <c r="ZT87" s="60"/>
      <c r="ZU87" s="60"/>
      <c r="ZV87" s="60"/>
      <c r="ZW87" s="60"/>
      <c r="ZX87" s="60"/>
      <c r="ZY87" s="60"/>
      <c r="ZZ87" s="60"/>
      <c r="AAA87" s="60"/>
      <c r="AAB87" s="60"/>
      <c r="AAC87" s="60"/>
      <c r="AAD87" s="60"/>
      <c r="AAE87" s="60"/>
      <c r="AAF87" s="60"/>
      <c r="AAG87" s="60"/>
      <c r="AAH87" s="60"/>
      <c r="AAI87" s="60"/>
      <c r="AAJ87" s="60"/>
      <c r="AAK87" s="60"/>
      <c r="AAL87" s="60"/>
      <c r="AAM87" s="60"/>
      <c r="AAN87" s="60"/>
      <c r="AAO87" s="60"/>
      <c r="AAP87" s="60"/>
      <c r="AAQ87" s="60"/>
      <c r="AAR87" s="60"/>
      <c r="AAS87" s="60"/>
      <c r="AAT87" s="60"/>
    </row>
    <row r="88" spans="1:724" s="46" customFormat="1" ht="21" customHeight="1">
      <c r="A88" s="28">
        <v>3</v>
      </c>
      <c r="B88" s="58">
        <v>5305414</v>
      </c>
      <c r="C88" s="27" t="s">
        <v>25</v>
      </c>
      <c r="D88" s="78" t="s">
        <v>50</v>
      </c>
      <c r="E88" s="62">
        <v>31</v>
      </c>
      <c r="F88" s="31">
        <f>VLOOKUP(B88,'Estampados por manguera'!A$2:B$500,2,FALSE)</f>
        <v>2</v>
      </c>
      <c r="G88" s="31">
        <f t="shared" si="73"/>
        <v>62</v>
      </c>
      <c r="H88" s="20">
        <v>6</v>
      </c>
      <c r="I88" s="29">
        <f t="shared" si="74"/>
        <v>372</v>
      </c>
      <c r="J88" s="32">
        <f t="shared" si="75"/>
        <v>180</v>
      </c>
      <c r="K88" s="31">
        <f t="shared" si="76"/>
        <v>552</v>
      </c>
      <c r="L88" s="11">
        <v>1202</v>
      </c>
      <c r="M88" s="31">
        <f>VLOOKUP(B88,'Mangueras por contenedor'!A$2:B$500,2,FALSE)</f>
        <v>80</v>
      </c>
      <c r="N88" s="35">
        <f t="shared" si="77"/>
        <v>0.38750000000000001</v>
      </c>
      <c r="O88" s="11">
        <f t="shared" si="78"/>
        <v>3</v>
      </c>
      <c r="P88" s="11">
        <f t="shared" si="79"/>
        <v>960</v>
      </c>
      <c r="Q88" s="11">
        <f t="shared" si="80"/>
        <v>2</v>
      </c>
      <c r="R88" s="32">
        <f t="shared" si="81"/>
        <v>1920</v>
      </c>
      <c r="S88" s="32">
        <f t="shared" si="82"/>
        <v>6</v>
      </c>
      <c r="T88" s="32">
        <f t="shared" si="83"/>
        <v>160</v>
      </c>
      <c r="U88" s="59" t="str">
        <f t="shared" si="94"/>
        <v/>
      </c>
      <c r="V88" s="59" t="str">
        <f t="shared" si="94"/>
        <v/>
      </c>
      <c r="W88" s="59" t="str">
        <f t="shared" si="94"/>
        <v/>
      </c>
      <c r="X88" s="59" t="str">
        <f t="shared" si="94"/>
        <v/>
      </c>
      <c r="Y88" s="59" t="str">
        <f t="shared" si="94"/>
        <v/>
      </c>
      <c r="Z88" s="59" t="str">
        <f t="shared" si="94"/>
        <v>X</v>
      </c>
      <c r="AA88" s="59" t="str">
        <f t="shared" si="94"/>
        <v/>
      </c>
      <c r="AB88" s="59" t="str">
        <f t="shared" si="94"/>
        <v/>
      </c>
      <c r="AC88" s="59" t="str">
        <f t="shared" si="94"/>
        <v/>
      </c>
      <c r="AD88" s="59" t="str">
        <f t="shared" si="94"/>
        <v/>
      </c>
      <c r="AE88" s="59" t="str">
        <f t="shared" si="95"/>
        <v/>
      </c>
      <c r="AF88" s="59" t="str">
        <f t="shared" si="95"/>
        <v>X</v>
      </c>
      <c r="AG88" s="59" t="str">
        <f t="shared" si="95"/>
        <v/>
      </c>
      <c r="AH88" s="67" t="str">
        <f t="shared" si="95"/>
        <v/>
      </c>
      <c r="AI88" s="67" t="str">
        <f t="shared" si="95"/>
        <v/>
      </c>
      <c r="AJ88" s="67" t="str">
        <f t="shared" si="95"/>
        <v/>
      </c>
      <c r="AK88" s="67" t="str">
        <f t="shared" si="95"/>
        <v/>
      </c>
      <c r="AL88" s="67" t="str">
        <f t="shared" si="95"/>
        <v>X</v>
      </c>
      <c r="AM88" s="67" t="str">
        <f t="shared" si="95"/>
        <v/>
      </c>
      <c r="AN88" s="67" t="str">
        <f t="shared" si="95"/>
        <v/>
      </c>
      <c r="AO88" s="67" t="str">
        <f t="shared" si="95"/>
        <v/>
      </c>
      <c r="AP88" s="67" t="str">
        <f t="shared" si="95"/>
        <v/>
      </c>
      <c r="AQ88" s="67" t="s">
        <v>202</v>
      </c>
      <c r="AR88" s="67"/>
      <c r="AS88" s="67" t="str">
        <f t="shared" si="96"/>
        <v/>
      </c>
      <c r="AT88" s="67" t="str">
        <f t="shared" si="96"/>
        <v/>
      </c>
      <c r="AU88" s="68" t="str">
        <f t="shared" si="96"/>
        <v/>
      </c>
      <c r="AV88" s="68" t="str">
        <f t="shared" si="96"/>
        <v/>
      </c>
      <c r="AW88" s="68" t="str">
        <f t="shared" si="93"/>
        <v/>
      </c>
      <c r="AX88" s="68" t="str">
        <f t="shared" si="93"/>
        <v>X</v>
      </c>
      <c r="AY88" s="68" t="str">
        <f t="shared" si="92"/>
        <v/>
      </c>
      <c r="AZ88" s="68" t="str">
        <f t="shared" si="88"/>
        <v/>
      </c>
      <c r="BA88" s="68" t="str">
        <f t="shared" si="88"/>
        <v/>
      </c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/>
      <c r="CI88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  <c r="LI88" s="60"/>
      <c r="LJ88" s="60"/>
      <c r="LK88" s="60"/>
      <c r="LL88" s="60"/>
      <c r="LM88" s="60"/>
      <c r="LN88" s="60"/>
      <c r="LO88" s="60"/>
      <c r="LP88" s="60"/>
      <c r="LQ88" s="60"/>
      <c r="LR88" s="60"/>
      <c r="LS88" s="60"/>
      <c r="LT88" s="60"/>
      <c r="LU88" s="60"/>
      <c r="LV88" s="60"/>
      <c r="LW88" s="60"/>
      <c r="LX88" s="60"/>
      <c r="LY88" s="60"/>
      <c r="LZ88" s="60"/>
      <c r="MA88" s="60"/>
      <c r="MB88" s="60"/>
      <c r="MC88" s="60"/>
      <c r="MD88" s="60"/>
      <c r="ME88" s="60"/>
      <c r="MF88" s="60"/>
      <c r="MG88" s="60"/>
      <c r="MH88" s="60"/>
      <c r="MI88" s="60"/>
      <c r="MJ88" s="60"/>
      <c r="MK88" s="60"/>
      <c r="ML88" s="60"/>
      <c r="MM88" s="60"/>
      <c r="MN88" s="60"/>
      <c r="MO88" s="60"/>
      <c r="MP88" s="60"/>
      <c r="MQ88" s="60"/>
      <c r="MR88" s="60"/>
      <c r="MS88" s="60"/>
      <c r="MT88" s="60"/>
      <c r="MU88" s="60"/>
      <c r="MV88" s="60"/>
      <c r="MW88" s="60"/>
      <c r="MX88" s="60"/>
      <c r="MY88" s="60"/>
      <c r="MZ88" s="60"/>
      <c r="NA88" s="60"/>
      <c r="NB88" s="60"/>
      <c r="NC88" s="60"/>
      <c r="ND88" s="60"/>
      <c r="NE88" s="60"/>
      <c r="NF88" s="60"/>
      <c r="NG88" s="60"/>
      <c r="NH88" s="60"/>
      <c r="NI88" s="60"/>
      <c r="NJ88" s="60"/>
      <c r="NK88" s="60"/>
      <c r="NL88" s="60"/>
      <c r="NM88" s="60"/>
      <c r="NN88" s="60"/>
      <c r="NO88" s="60"/>
      <c r="NP88" s="60"/>
      <c r="NQ88" s="60"/>
      <c r="NR88" s="60"/>
      <c r="NS88" s="60"/>
      <c r="NT88" s="60"/>
      <c r="NU88" s="60"/>
      <c r="NV88" s="60"/>
      <c r="NW88" s="60"/>
      <c r="NX88" s="60"/>
      <c r="NY88" s="60"/>
      <c r="NZ88" s="60"/>
      <c r="OA88" s="60"/>
      <c r="OB88" s="60"/>
      <c r="OC88" s="60"/>
      <c r="OD88" s="60"/>
      <c r="OE88" s="60"/>
      <c r="OF88" s="60"/>
      <c r="OG88" s="60"/>
      <c r="OH88" s="60"/>
      <c r="OI88" s="60"/>
      <c r="OJ88" s="60"/>
      <c r="OK88" s="60"/>
      <c r="OL88" s="60"/>
      <c r="OM88" s="60"/>
      <c r="ON88" s="60"/>
      <c r="OO88" s="60"/>
      <c r="OP88" s="60"/>
      <c r="OQ88" s="60"/>
      <c r="OR88" s="60"/>
      <c r="OS88" s="60"/>
      <c r="OT88" s="60"/>
      <c r="OU88" s="60"/>
      <c r="OV88" s="60"/>
      <c r="OW88" s="60"/>
      <c r="OX88" s="60"/>
      <c r="OY88" s="60"/>
      <c r="OZ88" s="60"/>
      <c r="PA88" s="60"/>
      <c r="PB88" s="60"/>
      <c r="PC88" s="60"/>
      <c r="PD88" s="60"/>
      <c r="PE88" s="60"/>
      <c r="PF88" s="60"/>
      <c r="PG88" s="60"/>
      <c r="PH88" s="60"/>
      <c r="PI88" s="60"/>
      <c r="PJ88" s="60"/>
      <c r="PK88" s="60"/>
      <c r="PL88" s="60"/>
      <c r="PM88" s="60"/>
      <c r="PN88" s="60"/>
      <c r="PO88" s="60"/>
      <c r="PP88" s="60"/>
      <c r="PQ88" s="60"/>
      <c r="PR88" s="60"/>
      <c r="PS88" s="60"/>
      <c r="PT88" s="60"/>
      <c r="PU88" s="60"/>
      <c r="PV88" s="60"/>
      <c r="PW88" s="60"/>
      <c r="PX88" s="60"/>
      <c r="PY88" s="60"/>
      <c r="PZ88" s="60"/>
      <c r="QA88" s="60"/>
      <c r="QB88" s="60"/>
      <c r="QC88" s="60"/>
      <c r="QD88" s="60"/>
      <c r="QE88" s="60"/>
      <c r="QF88" s="60"/>
      <c r="QG88" s="60"/>
      <c r="QH88" s="60"/>
      <c r="QI88" s="60"/>
      <c r="QJ88" s="60"/>
      <c r="QK88" s="60"/>
      <c r="QL88" s="60"/>
      <c r="QM88" s="60"/>
      <c r="QN88" s="60"/>
      <c r="QO88" s="60"/>
      <c r="QP88" s="60"/>
      <c r="QQ88" s="60"/>
      <c r="QR88" s="60"/>
      <c r="QS88" s="60"/>
      <c r="QT88" s="60"/>
      <c r="QU88" s="60"/>
      <c r="QV88" s="60"/>
      <c r="QW88" s="60"/>
      <c r="QX88" s="60"/>
      <c r="QY88" s="60"/>
      <c r="QZ88" s="60"/>
      <c r="RA88" s="60"/>
      <c r="RB88" s="60"/>
      <c r="RC88" s="60"/>
      <c r="RD88" s="60"/>
      <c r="RE88" s="60"/>
      <c r="RF88" s="60"/>
      <c r="RG88" s="60"/>
      <c r="RH88" s="60"/>
      <c r="RI88" s="60"/>
      <c r="RJ88" s="60"/>
      <c r="RK88" s="60"/>
      <c r="RL88" s="60"/>
      <c r="RM88" s="60"/>
      <c r="RN88" s="60"/>
      <c r="RO88" s="60"/>
      <c r="RP88" s="60"/>
      <c r="RQ88" s="60"/>
      <c r="RR88" s="60"/>
      <c r="RS88" s="60"/>
      <c r="RT88" s="60"/>
      <c r="RU88" s="60"/>
      <c r="RV88" s="60"/>
      <c r="RW88" s="60"/>
      <c r="RX88" s="60"/>
      <c r="RY88" s="60"/>
      <c r="RZ88" s="60"/>
      <c r="SA88" s="60"/>
      <c r="SB88" s="60"/>
      <c r="SC88" s="60"/>
      <c r="SD88" s="60"/>
      <c r="SE88" s="60"/>
      <c r="SF88" s="60"/>
      <c r="SG88" s="60"/>
      <c r="SH88" s="60"/>
      <c r="SI88" s="60"/>
      <c r="SJ88" s="60"/>
      <c r="SK88" s="60"/>
      <c r="SL88" s="60"/>
      <c r="SM88" s="60"/>
      <c r="SN88" s="60"/>
      <c r="SO88" s="60"/>
      <c r="SP88" s="60"/>
      <c r="SQ88" s="60"/>
      <c r="SR88" s="60"/>
      <c r="SS88" s="60"/>
      <c r="ST88" s="60"/>
      <c r="SU88" s="60"/>
      <c r="SV88" s="60"/>
      <c r="SW88" s="60"/>
      <c r="SX88" s="60"/>
      <c r="SY88" s="60"/>
      <c r="SZ88" s="60"/>
      <c r="TA88" s="60"/>
      <c r="TB88" s="60"/>
      <c r="TC88" s="60"/>
      <c r="TD88" s="60"/>
      <c r="TE88" s="60"/>
      <c r="TF88" s="60"/>
      <c r="TG88" s="60"/>
      <c r="TH88" s="60"/>
      <c r="TI88" s="60"/>
      <c r="TJ88" s="60"/>
      <c r="TK88" s="60"/>
      <c r="TL88" s="60"/>
      <c r="TM88" s="60"/>
      <c r="TN88" s="60"/>
      <c r="TO88" s="60"/>
      <c r="TP88" s="60"/>
      <c r="TQ88" s="60"/>
      <c r="TR88" s="60"/>
      <c r="TS88" s="60"/>
      <c r="TT88" s="60"/>
      <c r="TU88" s="60"/>
      <c r="TV88" s="60"/>
      <c r="TW88" s="60"/>
      <c r="TX88" s="60"/>
      <c r="TY88" s="60"/>
      <c r="TZ88" s="60"/>
      <c r="UA88" s="60"/>
      <c r="UB88" s="60"/>
      <c r="UC88" s="60"/>
      <c r="UD88" s="60"/>
      <c r="UE88" s="60"/>
      <c r="UF88" s="60"/>
      <c r="UG88" s="60"/>
      <c r="UH88" s="60"/>
      <c r="UI88" s="60"/>
      <c r="UJ88" s="60"/>
      <c r="UK88" s="60"/>
      <c r="UL88" s="60"/>
      <c r="UM88" s="60"/>
      <c r="UN88" s="60"/>
      <c r="UO88" s="60"/>
      <c r="UP88" s="60"/>
      <c r="UQ88" s="60"/>
      <c r="UR88" s="60"/>
      <c r="US88" s="60"/>
      <c r="UT88" s="60"/>
      <c r="UU88" s="60"/>
      <c r="UV88" s="60"/>
      <c r="UW88" s="60"/>
      <c r="UX88" s="60"/>
      <c r="UY88" s="60"/>
      <c r="UZ88" s="60"/>
      <c r="VA88" s="60"/>
      <c r="VB88" s="60"/>
      <c r="VC88" s="60"/>
      <c r="VD88" s="60"/>
      <c r="VE88" s="60"/>
      <c r="VF88" s="60"/>
      <c r="VG88" s="60"/>
      <c r="VH88" s="60"/>
      <c r="VI88" s="60"/>
      <c r="VJ88" s="60"/>
      <c r="VK88" s="60"/>
      <c r="VL88" s="60"/>
      <c r="VM88" s="60"/>
      <c r="VN88" s="60"/>
      <c r="VO88" s="60"/>
      <c r="VP88" s="60"/>
      <c r="VQ88" s="60"/>
      <c r="VR88" s="60"/>
      <c r="VS88" s="60"/>
      <c r="VT88" s="60"/>
      <c r="VU88" s="60"/>
      <c r="VV88" s="60"/>
      <c r="VW88" s="60"/>
      <c r="VX88" s="60"/>
      <c r="VY88" s="60"/>
      <c r="VZ88" s="60"/>
      <c r="WA88" s="60"/>
      <c r="WB88" s="60"/>
      <c r="WC88" s="60"/>
      <c r="WD88" s="60"/>
      <c r="WE88" s="60"/>
      <c r="WF88" s="60"/>
      <c r="WG88" s="60"/>
      <c r="WH88" s="60"/>
      <c r="WI88" s="60"/>
      <c r="WJ88" s="60"/>
      <c r="WK88" s="60"/>
      <c r="WL88" s="60"/>
      <c r="WM88" s="60"/>
      <c r="WN88" s="60"/>
      <c r="WO88" s="60"/>
      <c r="WP88" s="60"/>
      <c r="WQ88" s="60"/>
      <c r="WR88" s="60"/>
      <c r="WS88" s="60"/>
      <c r="WT88" s="60"/>
      <c r="WU88" s="60"/>
      <c r="WV88" s="60"/>
      <c r="WW88" s="60"/>
      <c r="WX88" s="60"/>
      <c r="WY88" s="60"/>
      <c r="WZ88" s="60"/>
      <c r="XA88" s="60"/>
      <c r="XB88" s="60"/>
      <c r="XC88" s="60"/>
      <c r="XD88" s="60"/>
      <c r="XE88" s="60"/>
      <c r="XF88" s="60"/>
      <c r="XG88" s="60"/>
      <c r="XH88" s="60"/>
      <c r="XI88" s="60"/>
      <c r="XJ88" s="60"/>
      <c r="XK88" s="60"/>
      <c r="XL88" s="60"/>
      <c r="XM88" s="60"/>
      <c r="XN88" s="60"/>
      <c r="XO88" s="60"/>
      <c r="XP88" s="60"/>
      <c r="XQ88" s="60"/>
      <c r="XR88" s="60"/>
      <c r="XS88" s="60"/>
      <c r="XT88" s="60"/>
      <c r="XU88" s="60"/>
      <c r="XV88" s="60"/>
      <c r="XW88" s="60"/>
      <c r="XX88" s="60"/>
      <c r="XY88" s="60"/>
      <c r="XZ88" s="60"/>
      <c r="YA88" s="60"/>
      <c r="YB88" s="60"/>
      <c r="YC88" s="60"/>
      <c r="YD88" s="60"/>
      <c r="YE88" s="60"/>
      <c r="YF88" s="60"/>
      <c r="YG88" s="60"/>
      <c r="YH88" s="60"/>
      <c r="YI88" s="60"/>
      <c r="YJ88" s="60"/>
      <c r="YK88" s="60"/>
      <c r="YL88" s="60"/>
      <c r="YM88" s="60"/>
      <c r="YN88" s="60"/>
      <c r="YO88" s="60"/>
      <c r="YP88" s="60"/>
      <c r="YQ88" s="60"/>
      <c r="YR88" s="60"/>
      <c r="YS88" s="60"/>
      <c r="YT88" s="60"/>
      <c r="YU88" s="60"/>
      <c r="YV88" s="60"/>
      <c r="YW88" s="60"/>
      <c r="YX88" s="60"/>
      <c r="YY88" s="60"/>
      <c r="YZ88" s="60"/>
      <c r="ZA88" s="60"/>
      <c r="ZB88" s="60"/>
      <c r="ZC88" s="60"/>
      <c r="ZD88" s="60"/>
      <c r="ZE88" s="60"/>
      <c r="ZF88" s="60"/>
      <c r="ZG88" s="60"/>
      <c r="ZH88" s="60"/>
      <c r="ZI88" s="60"/>
      <c r="ZJ88" s="60"/>
      <c r="ZK88" s="60"/>
      <c r="ZL88" s="60"/>
      <c r="ZM88" s="60"/>
      <c r="ZN88" s="60"/>
      <c r="ZO88" s="60"/>
      <c r="ZP88" s="60"/>
      <c r="ZQ88" s="60"/>
      <c r="ZR88" s="60"/>
      <c r="ZS88" s="60"/>
      <c r="ZT88" s="60"/>
      <c r="ZU88" s="60"/>
      <c r="ZV88" s="60"/>
      <c r="ZW88" s="60"/>
      <c r="ZX88" s="60"/>
      <c r="ZY88" s="60"/>
      <c r="ZZ88" s="60"/>
      <c r="AAA88" s="60"/>
      <c r="AAB88" s="60"/>
      <c r="AAC88" s="60"/>
      <c r="AAD88" s="60"/>
      <c r="AAE88" s="60"/>
      <c r="AAF88" s="60"/>
      <c r="AAG88" s="60"/>
      <c r="AAH88" s="60"/>
      <c r="AAI88" s="60"/>
      <c r="AAJ88" s="60"/>
      <c r="AAK88" s="60"/>
      <c r="AAL88" s="60"/>
      <c r="AAM88" s="60"/>
      <c r="AAN88" s="60"/>
      <c r="AAO88" s="60"/>
      <c r="AAP88" s="60"/>
      <c r="AAQ88" s="60"/>
      <c r="AAR88" s="60"/>
      <c r="AAS88" s="60"/>
      <c r="AAT88" s="60"/>
      <c r="AAU88" s="60"/>
      <c r="AAV88" s="60"/>
    </row>
    <row r="89" spans="1:724" ht="21" customHeight="1">
      <c r="A89" s="44">
        <v>3</v>
      </c>
      <c r="B89" s="58">
        <v>5305400</v>
      </c>
      <c r="C89" s="27" t="s">
        <v>22</v>
      </c>
      <c r="D89" s="78" t="s">
        <v>50</v>
      </c>
      <c r="E89" s="62">
        <v>13</v>
      </c>
      <c r="F89" s="30">
        <f>VLOOKUP(B89,'Estampados por manguera'!A$2:B$500,2,FALSE)</f>
        <v>1</v>
      </c>
      <c r="G89" s="30">
        <f t="shared" si="73"/>
        <v>13</v>
      </c>
      <c r="H89" s="20">
        <v>6</v>
      </c>
      <c r="I89" s="30">
        <f t="shared" si="74"/>
        <v>78</v>
      </c>
      <c r="J89" s="32">
        <f t="shared" si="75"/>
        <v>180</v>
      </c>
      <c r="K89" s="30">
        <f t="shared" si="76"/>
        <v>258</v>
      </c>
      <c r="L89" s="32">
        <v>1200</v>
      </c>
      <c r="M89" s="30">
        <f>VLOOKUP(B89,'Mangueras por contenedor'!A$2:B$500,2,FALSE)</f>
        <v>60</v>
      </c>
      <c r="N89" s="45">
        <f t="shared" si="77"/>
        <v>0.21666666666666667</v>
      </c>
      <c r="O89" s="11">
        <f t="shared" si="78"/>
        <v>4</v>
      </c>
      <c r="P89" s="32">
        <f t="shared" si="79"/>
        <v>360</v>
      </c>
      <c r="Q89" s="11">
        <f t="shared" si="80"/>
        <v>2</v>
      </c>
      <c r="R89" s="32">
        <f t="shared" si="81"/>
        <v>720</v>
      </c>
      <c r="S89" s="32">
        <f t="shared" si="82"/>
        <v>8</v>
      </c>
      <c r="T89" s="32">
        <f t="shared" si="83"/>
        <v>120</v>
      </c>
      <c r="U89" s="59" t="str">
        <f t="shared" si="94"/>
        <v/>
      </c>
      <c r="V89" s="59" t="str">
        <f t="shared" si="94"/>
        <v/>
      </c>
      <c r="W89" s="59" t="str">
        <f t="shared" si="94"/>
        <v/>
      </c>
      <c r="X89" s="59" t="str">
        <f t="shared" si="94"/>
        <v/>
      </c>
      <c r="Y89" s="59" t="str">
        <f t="shared" si="94"/>
        <v/>
      </c>
      <c r="Z89" s="59" t="str">
        <f t="shared" si="94"/>
        <v/>
      </c>
      <c r="AA89" s="59" t="str">
        <f t="shared" si="94"/>
        <v/>
      </c>
      <c r="AB89" s="59" t="str">
        <f t="shared" si="94"/>
        <v>X</v>
      </c>
      <c r="AC89" s="59" t="str">
        <f t="shared" si="94"/>
        <v/>
      </c>
      <c r="AD89" s="59" t="str">
        <f t="shared" si="94"/>
        <v/>
      </c>
      <c r="AE89" s="59" t="str">
        <f t="shared" si="95"/>
        <v/>
      </c>
      <c r="AF89" s="59" t="str">
        <f t="shared" si="95"/>
        <v/>
      </c>
      <c r="AG89" s="59" t="str">
        <f t="shared" si="95"/>
        <v/>
      </c>
      <c r="AH89" s="67" t="str">
        <f t="shared" si="95"/>
        <v/>
      </c>
      <c r="AI89" s="67" t="str">
        <f t="shared" si="95"/>
        <v/>
      </c>
      <c r="AJ89" s="67" t="str">
        <f t="shared" si="95"/>
        <v>X</v>
      </c>
      <c r="AK89" s="67" t="str">
        <f t="shared" si="95"/>
        <v/>
      </c>
      <c r="AL89" s="67" t="str">
        <f t="shared" si="95"/>
        <v/>
      </c>
      <c r="AM89" s="67" t="str">
        <f t="shared" si="95"/>
        <v/>
      </c>
      <c r="AN89" s="67" t="str">
        <f t="shared" si="95"/>
        <v/>
      </c>
      <c r="AO89" s="67" t="str">
        <f t="shared" si="95"/>
        <v/>
      </c>
      <c r="AP89" s="67" t="str">
        <f t="shared" si="95"/>
        <v/>
      </c>
      <c r="AQ89" s="67" t="s">
        <v>202</v>
      </c>
      <c r="AR89" s="67"/>
      <c r="AS89" s="67" t="str">
        <f t="shared" si="96"/>
        <v/>
      </c>
      <c r="AT89" s="67" t="str">
        <f t="shared" si="96"/>
        <v/>
      </c>
      <c r="AU89" s="68" t="str">
        <f t="shared" si="96"/>
        <v/>
      </c>
      <c r="AV89" s="68" t="str">
        <f t="shared" si="96"/>
        <v/>
      </c>
      <c r="AW89" s="68" t="str">
        <f t="shared" si="93"/>
        <v/>
      </c>
      <c r="AX89" s="68" t="str">
        <f t="shared" si="93"/>
        <v/>
      </c>
      <c r="AY89" s="68" t="str">
        <f t="shared" si="92"/>
        <v/>
      </c>
      <c r="AZ89" s="68" t="str">
        <f t="shared" si="88"/>
        <v>X</v>
      </c>
      <c r="BA89" s="68" t="str">
        <f t="shared" si="88"/>
        <v/>
      </c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  <c r="DW89" s="46"/>
      <c r="DX89" s="46"/>
      <c r="DY89" s="46"/>
      <c r="DZ89" s="46"/>
      <c r="EA89" s="46"/>
      <c r="EB89" s="46"/>
      <c r="EC89" s="46"/>
      <c r="ED89" s="46"/>
      <c r="EE89" s="46"/>
      <c r="EF89" s="46"/>
      <c r="EG89" s="46"/>
      <c r="EH89" s="46"/>
      <c r="EI89" s="46"/>
      <c r="EJ89" s="46"/>
      <c r="EK89" s="46"/>
      <c r="EL89" s="46"/>
      <c r="EM89" s="46"/>
      <c r="EN89" s="46"/>
      <c r="EO89" s="46"/>
      <c r="EP89" s="46"/>
      <c r="EQ89" s="46"/>
      <c r="ER89" s="46"/>
      <c r="ES89" s="46"/>
      <c r="ET89" s="46"/>
      <c r="EU89" s="46"/>
      <c r="EV89" s="46"/>
      <c r="EW89" s="46"/>
      <c r="EX89" s="46"/>
      <c r="EY89" s="46"/>
      <c r="EZ89" s="46"/>
      <c r="FA89" s="46"/>
      <c r="FB89" s="46"/>
      <c r="FC89" s="46"/>
      <c r="FD89" s="46"/>
      <c r="FE89" s="46"/>
      <c r="FF89" s="46"/>
      <c r="FG89" s="46"/>
      <c r="FH89" s="46"/>
      <c r="FI89" s="46"/>
      <c r="FJ89" s="46"/>
      <c r="FK89" s="46"/>
      <c r="FL89" s="46"/>
      <c r="FM89" s="46"/>
      <c r="FN89" s="46"/>
      <c r="FO89" s="46"/>
      <c r="FP89" s="46"/>
      <c r="FQ89" s="46"/>
      <c r="FR89" s="46"/>
      <c r="FS89" s="46"/>
      <c r="FT89" s="46"/>
      <c r="FU89" s="46"/>
      <c r="FV89" s="46"/>
      <c r="FW89" s="46"/>
      <c r="FX89" s="46"/>
      <c r="FY89" s="46"/>
      <c r="FZ89" s="46"/>
      <c r="GA89" s="46"/>
      <c r="GB89" s="46"/>
      <c r="GC89" s="46"/>
      <c r="GD89" s="46"/>
      <c r="GE89" s="46"/>
      <c r="GF89" s="46"/>
      <c r="GG89" s="46"/>
      <c r="GH89" s="46"/>
      <c r="GI89" s="46"/>
      <c r="GJ89" s="46"/>
      <c r="GK89" s="46"/>
      <c r="GL89" s="46"/>
      <c r="GM89" s="46"/>
      <c r="GN89" s="46"/>
      <c r="GO89" s="46"/>
      <c r="GP89" s="46"/>
      <c r="GQ89" s="46"/>
      <c r="GR89" s="46"/>
      <c r="GS89" s="46"/>
      <c r="GT89" s="46"/>
      <c r="GU89" s="46"/>
      <c r="GV89" s="46"/>
      <c r="GW89" s="46"/>
      <c r="GX89" s="46"/>
      <c r="GY89" s="46"/>
      <c r="GZ89" s="46"/>
      <c r="HA89" s="46"/>
      <c r="HB89" s="46"/>
      <c r="HC89" s="46"/>
      <c r="HD89" s="46"/>
      <c r="HE89" s="46"/>
      <c r="HF89" s="46"/>
      <c r="HG89" s="46"/>
      <c r="HH89" s="46"/>
      <c r="HI89" s="46"/>
      <c r="HJ89" s="46"/>
      <c r="HK89" s="46"/>
      <c r="HL89" s="46"/>
      <c r="HM89" s="46"/>
      <c r="HN89" s="46"/>
      <c r="HO89" s="46"/>
      <c r="HP89" s="46"/>
      <c r="HQ89" s="46"/>
      <c r="HR89" s="46"/>
      <c r="HS89" s="46"/>
      <c r="HT89" s="46"/>
      <c r="HU89" s="46"/>
      <c r="HV89" s="46"/>
      <c r="HW89" s="46"/>
      <c r="HX89" s="46"/>
      <c r="HY89" s="46"/>
      <c r="HZ89" s="46"/>
      <c r="IA89" s="46"/>
      <c r="IB89" s="46"/>
      <c r="IC89" s="46"/>
      <c r="ID89" s="46"/>
      <c r="IE89" s="46"/>
      <c r="IF89" s="46"/>
      <c r="IG89" s="46"/>
      <c r="IH89" s="46"/>
      <c r="II89" s="46"/>
      <c r="IJ89" s="46"/>
      <c r="IK89" s="46"/>
      <c r="IL89" s="46"/>
      <c r="IM89" s="46"/>
      <c r="IN89" s="46"/>
      <c r="IO89" s="46"/>
      <c r="IP89" s="46"/>
      <c r="IQ89" s="46"/>
      <c r="IR89" s="46"/>
      <c r="IS89" s="46"/>
      <c r="IT89" s="46"/>
      <c r="IU89" s="46"/>
      <c r="IV89" s="46"/>
      <c r="IW89" s="46"/>
      <c r="IX89" s="46"/>
      <c r="IY89" s="46"/>
      <c r="IZ89" s="46"/>
      <c r="JA89" s="46"/>
      <c r="JB89" s="46"/>
      <c r="JC89" s="46"/>
      <c r="JD89" s="46"/>
      <c r="JE89" s="46"/>
      <c r="JF89" s="46"/>
      <c r="JG89" s="46"/>
      <c r="JH89" s="46"/>
      <c r="JI89" s="46"/>
      <c r="JJ89" s="46"/>
      <c r="JK89" s="46"/>
      <c r="JL89" s="46"/>
      <c r="JM89" s="46"/>
      <c r="JN89" s="46"/>
      <c r="JO89" s="46"/>
      <c r="JP89" s="46"/>
      <c r="JQ89" s="46"/>
      <c r="JR89" s="46"/>
      <c r="JS89" s="46"/>
      <c r="JT89" s="46"/>
      <c r="JU89" s="46"/>
      <c r="JV89" s="46"/>
      <c r="JW89" s="46"/>
      <c r="JX89" s="46"/>
      <c r="JY89" s="46"/>
      <c r="JZ89" s="46"/>
      <c r="KA89" s="46"/>
      <c r="KB89" s="46"/>
      <c r="KC89" s="46"/>
      <c r="KD89" s="46"/>
      <c r="KE89" s="46"/>
      <c r="KF89" s="46"/>
      <c r="KG89" s="46"/>
      <c r="KH89" s="46"/>
      <c r="KI89" s="46"/>
      <c r="KJ89" s="46"/>
      <c r="KK89" s="46"/>
      <c r="KL89" s="46"/>
      <c r="KM89" s="46"/>
      <c r="KN89" s="46"/>
      <c r="KO89" s="46"/>
      <c r="KP89" s="46"/>
      <c r="KQ89" s="46"/>
      <c r="KR89" s="46"/>
      <c r="KS89" s="46"/>
      <c r="KT89" s="46"/>
      <c r="KU89" s="46"/>
      <c r="KV89" s="46"/>
      <c r="KW89" s="46"/>
      <c r="KX89" s="46"/>
      <c r="KY89" s="46"/>
      <c r="KZ89" s="46"/>
      <c r="LA89" s="46"/>
      <c r="LB89" s="46"/>
      <c r="LC89" s="46"/>
      <c r="LD89" s="46"/>
      <c r="LE89" s="46"/>
      <c r="LF89" s="46"/>
      <c r="LG89" s="46"/>
      <c r="LH89" s="46"/>
      <c r="LI89" s="46"/>
      <c r="LJ89" s="46"/>
      <c r="LK89" s="46"/>
      <c r="LL89" s="46"/>
      <c r="LM89" s="46"/>
      <c r="LN89" s="46"/>
      <c r="LO89" s="46"/>
      <c r="LP89" s="46"/>
      <c r="LQ89" s="46"/>
      <c r="LR89" s="46"/>
      <c r="LS89" s="46"/>
      <c r="LT89" s="46"/>
      <c r="LU89" s="46"/>
      <c r="LV89" s="46"/>
      <c r="LW89" s="46"/>
      <c r="LX89" s="46"/>
      <c r="LY89" s="46"/>
      <c r="LZ89" s="46"/>
      <c r="MA89" s="46"/>
      <c r="MB89" s="46"/>
      <c r="MC89" s="46"/>
      <c r="MD89" s="46"/>
      <c r="ME89" s="46"/>
      <c r="MF89" s="46"/>
      <c r="MG89" s="46"/>
      <c r="MH89" s="46"/>
      <c r="MI89" s="46"/>
      <c r="MJ89" s="46"/>
      <c r="MK89" s="46"/>
      <c r="ML89" s="46"/>
      <c r="MM89" s="46"/>
      <c r="MN89" s="46"/>
      <c r="MO89" s="46"/>
      <c r="MP89" s="46"/>
      <c r="MQ89" s="46"/>
      <c r="MR89" s="46"/>
      <c r="MS89" s="46"/>
      <c r="MT89" s="46"/>
      <c r="MU89" s="46"/>
      <c r="MV89" s="46"/>
      <c r="MW89" s="46"/>
      <c r="MX89" s="46"/>
      <c r="MY89" s="46"/>
      <c r="MZ89" s="46"/>
      <c r="NA89" s="46"/>
      <c r="NB89" s="46"/>
      <c r="NC89" s="46"/>
      <c r="ND89" s="46"/>
      <c r="NE89" s="46"/>
      <c r="NF89" s="46"/>
      <c r="NG89" s="46"/>
      <c r="NH89" s="46"/>
      <c r="NI89" s="46"/>
      <c r="NJ89" s="46"/>
      <c r="NK89" s="46"/>
      <c r="NL89" s="46"/>
      <c r="NM89" s="46"/>
      <c r="NN89" s="46"/>
      <c r="NO89" s="46"/>
      <c r="NP89" s="46"/>
      <c r="NQ89" s="46"/>
      <c r="NR89" s="46"/>
      <c r="NS89" s="46"/>
      <c r="NT89" s="46"/>
      <c r="NU89" s="46"/>
      <c r="NV89" s="46"/>
      <c r="NW89" s="46"/>
      <c r="NX89" s="46"/>
      <c r="NY89" s="46"/>
      <c r="NZ89" s="46"/>
      <c r="OA89" s="46"/>
      <c r="OB89" s="46"/>
      <c r="OC89" s="46"/>
      <c r="OD89" s="46"/>
      <c r="OE89" s="46"/>
      <c r="OF89" s="46"/>
      <c r="OG89" s="46"/>
      <c r="OH89" s="46"/>
      <c r="OI89" s="46"/>
      <c r="OJ89" s="46"/>
      <c r="OK89" s="46"/>
      <c r="OL89" s="46"/>
      <c r="OM89" s="46"/>
      <c r="ON89" s="46"/>
      <c r="OO89" s="46"/>
      <c r="OP89" s="46"/>
      <c r="OQ89" s="46"/>
      <c r="OR89" s="46"/>
      <c r="OS89" s="46"/>
      <c r="OT89" s="46"/>
      <c r="OU89" s="46"/>
      <c r="OV89" s="46"/>
      <c r="OW89" s="46"/>
      <c r="OX89" s="46"/>
      <c r="OY89" s="46"/>
      <c r="OZ89" s="46"/>
      <c r="PA89" s="46"/>
      <c r="PB89" s="46"/>
      <c r="PC89" s="46"/>
      <c r="PD89" s="46"/>
      <c r="PE89" s="46"/>
      <c r="PF89" s="46"/>
      <c r="PG89" s="46"/>
      <c r="PH89" s="46"/>
      <c r="PI89" s="46"/>
      <c r="PJ89" s="46"/>
      <c r="PK89" s="46"/>
      <c r="PL89" s="46"/>
      <c r="PM89" s="46"/>
      <c r="PN89" s="46"/>
      <c r="PO89" s="46"/>
      <c r="PP89" s="46"/>
      <c r="PQ89" s="46"/>
      <c r="PR89" s="46"/>
      <c r="PS89" s="46"/>
      <c r="PT89" s="46"/>
      <c r="PU89" s="46"/>
      <c r="PV89" s="46"/>
      <c r="PW89" s="46"/>
      <c r="PX89" s="46"/>
      <c r="PY89" s="46"/>
      <c r="PZ89" s="46"/>
      <c r="QA89" s="46"/>
      <c r="QB89" s="46"/>
      <c r="QC89" s="46"/>
      <c r="QD89" s="46"/>
      <c r="QE89" s="46"/>
      <c r="QF89" s="46"/>
      <c r="QG89" s="46"/>
      <c r="QH89" s="46"/>
      <c r="QI89" s="46"/>
      <c r="QJ89" s="46"/>
      <c r="QK89" s="46"/>
      <c r="QL89" s="46"/>
      <c r="QM89" s="46"/>
      <c r="QN89" s="46"/>
      <c r="QO89" s="46"/>
      <c r="QP89" s="46"/>
      <c r="QQ89" s="46"/>
      <c r="QR89" s="46"/>
      <c r="QS89" s="46"/>
      <c r="QT89" s="46"/>
      <c r="QU89" s="46"/>
      <c r="QV89" s="46"/>
      <c r="QW89" s="46"/>
      <c r="QX89" s="46"/>
      <c r="QY89" s="46"/>
      <c r="QZ89" s="46"/>
      <c r="RA89" s="46"/>
      <c r="RB89" s="46"/>
      <c r="RC89" s="46"/>
      <c r="RD89" s="46"/>
      <c r="RE89" s="46"/>
      <c r="RF89" s="46"/>
      <c r="RG89" s="46"/>
      <c r="RH89" s="46"/>
      <c r="RI89" s="46"/>
      <c r="RJ89" s="46"/>
      <c r="RK89" s="46"/>
      <c r="RL89" s="46"/>
      <c r="RM89" s="46"/>
      <c r="RN89" s="46"/>
      <c r="RO89" s="46"/>
      <c r="RP89" s="46"/>
      <c r="RQ89" s="46"/>
      <c r="RR89" s="46"/>
      <c r="RS89" s="46"/>
      <c r="RT89" s="46"/>
      <c r="RU89" s="46"/>
      <c r="RV89" s="46"/>
      <c r="RW89" s="46"/>
      <c r="RX89" s="46"/>
      <c r="RY89" s="46"/>
      <c r="RZ89" s="46"/>
      <c r="SA89" s="46"/>
      <c r="SB89" s="46"/>
      <c r="SC89" s="46"/>
      <c r="SD89" s="46"/>
      <c r="SE89" s="46"/>
      <c r="SF89" s="46"/>
      <c r="SG89" s="46"/>
      <c r="SH89" s="46"/>
      <c r="SI89" s="46"/>
      <c r="SJ89" s="46"/>
      <c r="SK89" s="46"/>
      <c r="SL89" s="46"/>
      <c r="SM89" s="46"/>
      <c r="SN89" s="46"/>
      <c r="SO89" s="46"/>
      <c r="SP89" s="46"/>
      <c r="SQ89" s="46"/>
      <c r="SR89" s="46"/>
      <c r="SS89" s="46"/>
      <c r="ST89" s="46"/>
      <c r="SU89" s="46"/>
      <c r="SV89" s="46"/>
      <c r="SW89" s="46"/>
      <c r="SX89" s="46"/>
      <c r="SY89" s="46"/>
      <c r="SZ89" s="46"/>
      <c r="TA89" s="46"/>
      <c r="TB89" s="46"/>
      <c r="TC89" s="46"/>
      <c r="TD89" s="46"/>
      <c r="TE89" s="46"/>
      <c r="TF89" s="46"/>
      <c r="TG89" s="46"/>
      <c r="TH89" s="46"/>
      <c r="TI89" s="46"/>
      <c r="TJ89" s="46"/>
      <c r="TK89" s="46"/>
      <c r="TL89" s="46"/>
      <c r="TM89" s="46"/>
      <c r="TN89" s="46"/>
      <c r="TO89" s="46"/>
      <c r="TP89" s="46"/>
      <c r="TQ89" s="46"/>
      <c r="TR89" s="46"/>
      <c r="TS89" s="46"/>
      <c r="TT89" s="46"/>
      <c r="TU89" s="46"/>
      <c r="TV89" s="46"/>
      <c r="TW89" s="46"/>
      <c r="TX89" s="46"/>
      <c r="TY89" s="46"/>
      <c r="TZ89" s="46"/>
      <c r="UA89" s="46"/>
      <c r="UB89" s="46"/>
      <c r="UC89" s="46"/>
      <c r="UD89" s="46"/>
      <c r="UE89" s="46"/>
      <c r="UF89" s="46"/>
      <c r="UG89" s="46"/>
      <c r="UH89" s="46"/>
      <c r="UI89" s="46"/>
      <c r="UJ89" s="46"/>
      <c r="UK89" s="46"/>
      <c r="UL89" s="46"/>
      <c r="UM89" s="46"/>
      <c r="UN89" s="46"/>
      <c r="UO89" s="46"/>
      <c r="UP89" s="46"/>
      <c r="UQ89" s="46"/>
      <c r="UR89" s="46"/>
      <c r="US89" s="46"/>
      <c r="UT89" s="46"/>
      <c r="UU89" s="46"/>
      <c r="UV89" s="46"/>
      <c r="UW89" s="46"/>
      <c r="UX89" s="46"/>
      <c r="UY89" s="46"/>
      <c r="UZ89" s="46"/>
      <c r="VA89" s="46"/>
      <c r="VB89" s="46"/>
      <c r="VC89" s="46"/>
      <c r="VD89" s="46"/>
      <c r="VE89" s="46"/>
      <c r="VF89" s="46"/>
      <c r="VG89" s="46"/>
      <c r="VH89" s="46"/>
      <c r="VI89" s="46"/>
      <c r="VJ89" s="46"/>
      <c r="VK89" s="46"/>
      <c r="VL89" s="46"/>
      <c r="VM89" s="46"/>
      <c r="VN89" s="46"/>
      <c r="VO89" s="46"/>
      <c r="VP89" s="46"/>
      <c r="VQ89" s="46"/>
      <c r="VR89" s="46"/>
      <c r="VS89" s="46"/>
      <c r="VT89" s="46"/>
      <c r="VU89" s="46"/>
      <c r="VV89" s="46"/>
      <c r="VW89" s="46"/>
      <c r="VX89" s="46"/>
      <c r="VY89" s="46"/>
      <c r="VZ89" s="46"/>
      <c r="WA89" s="46"/>
      <c r="WB89" s="46"/>
      <c r="WC89" s="46"/>
      <c r="WD89" s="46"/>
      <c r="WE89" s="46"/>
      <c r="WF89" s="46"/>
      <c r="WG89" s="46"/>
      <c r="WH89" s="46"/>
      <c r="WI89" s="46"/>
      <c r="WJ89" s="46"/>
      <c r="WK89" s="46"/>
      <c r="WL89" s="46"/>
      <c r="WM89" s="46"/>
      <c r="WN89" s="46"/>
      <c r="WO89" s="46"/>
      <c r="WP89" s="46"/>
      <c r="WQ89" s="46"/>
      <c r="WR89" s="46"/>
      <c r="WS89" s="46"/>
      <c r="WT89" s="46"/>
      <c r="WU89" s="46"/>
      <c r="WV89" s="46"/>
      <c r="WW89" s="46"/>
      <c r="WX89" s="46"/>
      <c r="WY89" s="46"/>
      <c r="WZ89" s="46"/>
      <c r="XA89" s="46"/>
      <c r="XB89" s="46"/>
      <c r="XC89" s="46"/>
      <c r="XD89" s="46"/>
      <c r="XE89" s="46"/>
      <c r="XF89" s="46"/>
      <c r="XG89" s="46"/>
      <c r="XH89" s="46"/>
      <c r="XI89" s="46"/>
      <c r="XJ89" s="46"/>
      <c r="XK89" s="46"/>
      <c r="XL89" s="46"/>
      <c r="XM89" s="46"/>
      <c r="XN89" s="46"/>
      <c r="XO89" s="46"/>
      <c r="XP89" s="46"/>
      <c r="XQ89" s="46"/>
      <c r="XR89" s="46"/>
      <c r="XS89" s="46"/>
      <c r="XT89" s="46"/>
      <c r="XU89" s="46"/>
      <c r="XV89" s="46"/>
      <c r="XW89" s="46"/>
      <c r="XX89" s="46"/>
      <c r="XY89" s="46"/>
      <c r="XZ89" s="46"/>
      <c r="YA89" s="46"/>
      <c r="YB89" s="46"/>
      <c r="YC89" s="46"/>
      <c r="YD89" s="46"/>
      <c r="YE89" s="46"/>
      <c r="YF89" s="46"/>
      <c r="YG89" s="46"/>
      <c r="YH89" s="46"/>
      <c r="YI89" s="46"/>
      <c r="YJ89" s="46"/>
      <c r="YK89" s="46"/>
      <c r="YL89" s="46"/>
      <c r="YM89" s="46"/>
      <c r="YN89" s="46"/>
      <c r="YO89" s="46"/>
      <c r="YP89" s="46"/>
      <c r="YQ89" s="46"/>
      <c r="YR89" s="46"/>
      <c r="YS89" s="46"/>
      <c r="YT89" s="46"/>
      <c r="YU89" s="46"/>
      <c r="YV89" s="46"/>
      <c r="YW89" s="46"/>
      <c r="YX89" s="46"/>
      <c r="YY89" s="46"/>
      <c r="YZ89" s="46"/>
      <c r="ZA89" s="46"/>
      <c r="ZB89" s="46"/>
      <c r="ZC89" s="46"/>
      <c r="ZD89" s="46"/>
      <c r="ZE89" s="46"/>
      <c r="ZF89" s="46"/>
      <c r="ZG89" s="46"/>
      <c r="ZH89" s="46"/>
      <c r="ZI89" s="46"/>
      <c r="ZJ89" s="46"/>
      <c r="ZK89" s="46"/>
      <c r="ZL89" s="46"/>
      <c r="ZM89" s="46"/>
      <c r="ZN89" s="46"/>
      <c r="ZO89" s="46"/>
      <c r="ZP89" s="46"/>
      <c r="ZQ89" s="46"/>
      <c r="ZR89" s="46"/>
      <c r="ZS89" s="46"/>
      <c r="ZT89" s="46"/>
      <c r="ZU89" s="46"/>
      <c r="ZV89" s="46"/>
      <c r="ZW89" s="46"/>
      <c r="ZX89" s="46"/>
      <c r="ZY89" s="46"/>
      <c r="ZZ89" s="46"/>
      <c r="AAA89" s="46"/>
      <c r="AAB89" s="46"/>
      <c r="AAC89" s="46"/>
      <c r="AAD89" s="46"/>
      <c r="AAE89" s="46"/>
      <c r="AAF89" s="46"/>
      <c r="AAG89" s="46"/>
      <c r="AAH89" s="46"/>
      <c r="AAI89" s="46"/>
      <c r="AAJ89" s="46"/>
      <c r="AAK89" s="46"/>
      <c r="AAL89" s="46"/>
      <c r="AAM89" s="46"/>
      <c r="AAN89" s="46"/>
      <c r="AAO89" s="46"/>
      <c r="AAP89" s="46"/>
      <c r="AAQ89" s="46"/>
      <c r="AAR89" s="46"/>
      <c r="AAS89" s="46"/>
      <c r="AAT89" s="46"/>
    </row>
    <row r="90" spans="1:724" ht="21" customHeight="1">
      <c r="A90" s="28">
        <v>3</v>
      </c>
      <c r="B90" s="58">
        <v>5305210</v>
      </c>
      <c r="C90" s="27" t="s">
        <v>166</v>
      </c>
      <c r="D90" s="78" t="s">
        <v>50</v>
      </c>
      <c r="E90" s="62">
        <v>5</v>
      </c>
      <c r="F90" s="31">
        <f>VLOOKUP(B90,'Estampados por manguera'!A$2:B$500,2,FALSE)</f>
        <v>1</v>
      </c>
      <c r="G90" s="31">
        <f t="shared" si="73"/>
        <v>5</v>
      </c>
      <c r="H90" s="32">
        <v>6</v>
      </c>
      <c r="I90" s="29">
        <f t="shared" si="74"/>
        <v>30</v>
      </c>
      <c r="J90" s="32">
        <f t="shared" si="75"/>
        <v>180</v>
      </c>
      <c r="K90" s="31">
        <f t="shared" si="76"/>
        <v>210</v>
      </c>
      <c r="L90" s="11">
        <v>1200</v>
      </c>
      <c r="M90" s="31">
        <f>VLOOKUP(B90,'Mangueras por contenedor'!A$2:B$500,2,FALSE)</f>
        <v>55</v>
      </c>
      <c r="N90" s="35">
        <f t="shared" si="77"/>
        <v>9.0909090909090912E-2</v>
      </c>
      <c r="O90" s="11">
        <f t="shared" si="78"/>
        <v>9</v>
      </c>
      <c r="P90" s="11">
        <f t="shared" si="79"/>
        <v>330</v>
      </c>
      <c r="Q90" s="11">
        <f t="shared" si="80"/>
        <v>2</v>
      </c>
      <c r="R90" s="32">
        <f t="shared" si="81"/>
        <v>660</v>
      </c>
      <c r="S90" s="32">
        <f t="shared" si="82"/>
        <v>18</v>
      </c>
      <c r="T90" s="32">
        <f t="shared" si="83"/>
        <v>110</v>
      </c>
      <c r="U90" s="59" t="str">
        <f t="shared" si="94"/>
        <v/>
      </c>
      <c r="V90" s="59" t="str">
        <f t="shared" si="94"/>
        <v/>
      </c>
      <c r="W90" s="59" t="str">
        <f t="shared" si="94"/>
        <v/>
      </c>
      <c r="X90" s="59" t="str">
        <f t="shared" si="94"/>
        <v/>
      </c>
      <c r="Y90" s="59" t="str">
        <f t="shared" si="94"/>
        <v/>
      </c>
      <c r="Z90" s="59" t="str">
        <f t="shared" si="94"/>
        <v/>
      </c>
      <c r="AA90" s="59" t="str">
        <f t="shared" si="94"/>
        <v/>
      </c>
      <c r="AB90" s="59" t="str">
        <f t="shared" si="94"/>
        <v/>
      </c>
      <c r="AC90" s="59" t="str">
        <f t="shared" si="94"/>
        <v/>
      </c>
      <c r="AD90" s="59" t="str">
        <f t="shared" si="94"/>
        <v/>
      </c>
      <c r="AE90" s="59" t="str">
        <f t="shared" si="95"/>
        <v/>
      </c>
      <c r="AF90" s="59" t="str">
        <f t="shared" si="95"/>
        <v/>
      </c>
      <c r="AG90" s="59" t="str">
        <f t="shared" si="95"/>
        <v/>
      </c>
      <c r="AH90" s="67" t="str">
        <f t="shared" si="95"/>
        <v/>
      </c>
      <c r="AI90" s="67" t="str">
        <f t="shared" si="95"/>
        <v/>
      </c>
      <c r="AJ90" s="67" t="str">
        <f t="shared" si="95"/>
        <v/>
      </c>
      <c r="AK90" s="67" t="str">
        <f t="shared" si="95"/>
        <v/>
      </c>
      <c r="AL90" s="67" t="str">
        <f t="shared" si="95"/>
        <v>X</v>
      </c>
      <c r="AM90" s="67" t="str">
        <f t="shared" si="95"/>
        <v/>
      </c>
      <c r="AN90" s="67" t="str">
        <f t="shared" si="95"/>
        <v/>
      </c>
      <c r="AO90" s="67" t="str">
        <f t="shared" si="95"/>
        <v/>
      </c>
      <c r="AP90" s="67" t="str">
        <f t="shared" si="95"/>
        <v/>
      </c>
      <c r="AQ90" s="67" t="str">
        <f t="shared" ref="AQ90:AR107" si="97">IF(OR(AQ$79/$S90=1,AQ$79/$S90=2,AQ$79/$S90=3,AQ$79/$S90=4,AQ$79/$S90=5,AQ$79/$S90=6,AQ$79/$S90=7,AQ$79/$S90=8,AQ$79/$S90=9,AQ$79/$S90=10,AQ$79/$S90=11,AQ$79/$S90=12,AQ$79/$S90=13,AQ$79/$S90=14,AQ$79/$S90=15,AQ$79/$S90=16,AQ$79/$S90=17,AQ$79/$S90=18,AQ$79/$S90=19,AQ$79/$S90=20,AQ$79/$S90=21,AQ$79/$S90=22,AQ$79/$S90=23,AQ$79/$S90=24,AQ$79/$S90=25,AQ$79/$S90=26,AQ$79/$S90=27,AQ$79/$S90=28,AQ$79/$S90=29,AQ$79/$S90=30,AQ$79/$S90=31,AQ$79/$S90=32,AQ$79/$S90=33),"X","")</f>
        <v/>
      </c>
      <c r="AR90" s="67" t="str">
        <f t="shared" si="97"/>
        <v/>
      </c>
      <c r="AS90" s="67" t="str">
        <f t="shared" si="96"/>
        <v/>
      </c>
      <c r="AT90" s="67" t="str">
        <f t="shared" si="96"/>
        <v/>
      </c>
      <c r="AU90" s="68" t="str">
        <f t="shared" si="96"/>
        <v/>
      </c>
      <c r="AV90" s="68" t="str">
        <f t="shared" si="96"/>
        <v/>
      </c>
      <c r="AW90" s="68" t="str">
        <f t="shared" si="93"/>
        <v/>
      </c>
      <c r="AX90" s="68" t="str">
        <f t="shared" si="93"/>
        <v/>
      </c>
      <c r="AY90" s="68" t="str">
        <f t="shared" si="92"/>
        <v/>
      </c>
      <c r="AZ90" s="68" t="str">
        <f t="shared" si="88"/>
        <v/>
      </c>
      <c r="BA90" s="68" t="str">
        <f t="shared" si="88"/>
        <v/>
      </c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  <c r="LI90" s="60"/>
      <c r="LJ90" s="60"/>
      <c r="LK90" s="60"/>
      <c r="LL90" s="60"/>
      <c r="LM90" s="60"/>
      <c r="LN90" s="60"/>
      <c r="LO90" s="60"/>
      <c r="LP90" s="60"/>
      <c r="LQ90" s="60"/>
      <c r="LR90" s="60"/>
      <c r="LS90" s="60"/>
      <c r="LT90" s="60"/>
      <c r="LU90" s="60"/>
      <c r="LV90" s="60"/>
      <c r="LW90" s="60"/>
      <c r="LX90" s="60"/>
      <c r="LY90" s="60"/>
      <c r="LZ90" s="60"/>
      <c r="MA90" s="60"/>
      <c r="MB90" s="60"/>
      <c r="MC90" s="60"/>
      <c r="MD90" s="60"/>
      <c r="ME90" s="60"/>
      <c r="MF90" s="60"/>
      <c r="MG90" s="60"/>
      <c r="MH90" s="60"/>
      <c r="MI90" s="60"/>
      <c r="MJ90" s="60"/>
      <c r="MK90" s="60"/>
      <c r="ML90" s="60"/>
      <c r="MM90" s="60"/>
      <c r="MN90" s="60"/>
      <c r="MO90" s="60"/>
      <c r="MP90" s="60"/>
      <c r="MQ90" s="60"/>
      <c r="MR90" s="60"/>
      <c r="MS90" s="60"/>
      <c r="MT90" s="60"/>
      <c r="MU90" s="60"/>
      <c r="MV90" s="60"/>
      <c r="MW90" s="60"/>
      <c r="MX90" s="60"/>
      <c r="MY90" s="60"/>
      <c r="MZ90" s="60"/>
      <c r="NA90" s="60"/>
      <c r="NB90" s="60"/>
      <c r="NC90" s="60"/>
      <c r="ND90" s="60"/>
      <c r="NE90" s="60"/>
      <c r="NF90" s="60"/>
      <c r="NG90" s="60"/>
      <c r="NH90" s="60"/>
      <c r="NI90" s="60"/>
      <c r="NJ90" s="60"/>
      <c r="NK90" s="60"/>
      <c r="NL90" s="60"/>
      <c r="NM90" s="60"/>
      <c r="NN90" s="60"/>
      <c r="NO90" s="60"/>
      <c r="NP90" s="60"/>
      <c r="NQ90" s="60"/>
      <c r="NR90" s="60"/>
      <c r="NS90" s="60"/>
      <c r="NT90" s="60"/>
      <c r="NU90" s="60"/>
      <c r="NV90" s="60"/>
      <c r="NW90" s="60"/>
      <c r="NX90" s="60"/>
      <c r="NY90" s="60"/>
      <c r="NZ90" s="60"/>
      <c r="OA90" s="60"/>
      <c r="OB90" s="60"/>
      <c r="OC90" s="60"/>
      <c r="OD90" s="60"/>
      <c r="OE90" s="60"/>
      <c r="OF90" s="60"/>
      <c r="OG90" s="60"/>
      <c r="OH90" s="60"/>
      <c r="OI90" s="60"/>
      <c r="OJ90" s="60"/>
      <c r="OK90" s="60"/>
      <c r="OL90" s="60"/>
      <c r="OM90" s="60"/>
      <c r="ON90" s="60"/>
      <c r="OO90" s="60"/>
      <c r="OP90" s="60"/>
      <c r="OQ90" s="60"/>
      <c r="OR90" s="60"/>
      <c r="OS90" s="60"/>
      <c r="OT90" s="60"/>
      <c r="OU90" s="60"/>
      <c r="OV90" s="60"/>
      <c r="OW90" s="60"/>
      <c r="OX90" s="60"/>
      <c r="OY90" s="60"/>
      <c r="OZ90" s="60"/>
      <c r="PA90" s="60"/>
      <c r="PB90" s="60"/>
      <c r="PC90" s="60"/>
      <c r="PD90" s="60"/>
      <c r="PE90" s="60"/>
      <c r="PF90" s="60"/>
      <c r="PG90" s="60"/>
      <c r="PH90" s="60"/>
      <c r="PI90" s="60"/>
      <c r="PJ90" s="60"/>
      <c r="PK90" s="60"/>
      <c r="PL90" s="60"/>
      <c r="PM90" s="60"/>
      <c r="PN90" s="60"/>
      <c r="PO90" s="60"/>
      <c r="PP90" s="60"/>
      <c r="PQ90" s="60"/>
      <c r="PR90" s="60"/>
      <c r="PS90" s="60"/>
      <c r="PT90" s="60"/>
      <c r="PU90" s="60"/>
      <c r="PV90" s="60"/>
      <c r="PW90" s="60"/>
      <c r="PX90" s="60"/>
      <c r="PY90" s="60"/>
      <c r="PZ90" s="60"/>
      <c r="QA90" s="60"/>
      <c r="QB90" s="60"/>
      <c r="QC90" s="60"/>
      <c r="QD90" s="60"/>
      <c r="QE90" s="60"/>
      <c r="QF90" s="60"/>
      <c r="QG90" s="60"/>
      <c r="QH90" s="60"/>
      <c r="QI90" s="60"/>
      <c r="QJ90" s="60"/>
      <c r="QK90" s="60"/>
      <c r="QL90" s="60"/>
      <c r="QM90" s="60"/>
      <c r="QN90" s="60"/>
      <c r="QO90" s="60"/>
      <c r="QP90" s="60"/>
      <c r="QQ90" s="60"/>
      <c r="QR90" s="60"/>
      <c r="QS90" s="60"/>
      <c r="QT90" s="60"/>
      <c r="QU90" s="60"/>
      <c r="QV90" s="60"/>
      <c r="QW90" s="60"/>
      <c r="QX90" s="60"/>
      <c r="QY90" s="60"/>
      <c r="QZ90" s="60"/>
      <c r="RA90" s="60"/>
      <c r="RB90" s="60"/>
      <c r="RC90" s="60"/>
      <c r="RD90" s="60"/>
      <c r="RE90" s="60"/>
      <c r="RF90" s="60"/>
      <c r="RG90" s="60"/>
      <c r="RH90" s="60"/>
      <c r="RI90" s="60"/>
      <c r="RJ90" s="60"/>
      <c r="RK90" s="60"/>
      <c r="RL90" s="60"/>
      <c r="RM90" s="60"/>
      <c r="RN90" s="60"/>
      <c r="RO90" s="60"/>
      <c r="RP90" s="60"/>
      <c r="RQ90" s="60"/>
      <c r="RR90" s="60"/>
      <c r="RS90" s="60"/>
      <c r="RT90" s="60"/>
      <c r="RU90" s="60"/>
      <c r="RV90" s="60"/>
      <c r="RW90" s="60"/>
      <c r="RX90" s="60"/>
      <c r="RY90" s="60"/>
      <c r="RZ90" s="60"/>
      <c r="SA90" s="60"/>
      <c r="SB90" s="60"/>
      <c r="SC90" s="60"/>
      <c r="SD90" s="60"/>
      <c r="SE90" s="60"/>
      <c r="SF90" s="60"/>
      <c r="SG90" s="60"/>
      <c r="SH90" s="60"/>
      <c r="SI90" s="60"/>
      <c r="SJ90" s="60"/>
      <c r="SK90" s="60"/>
      <c r="SL90" s="60"/>
      <c r="SM90" s="60"/>
      <c r="SN90" s="60"/>
      <c r="SO90" s="60"/>
      <c r="SP90" s="60"/>
      <c r="SQ90" s="60"/>
      <c r="SR90" s="60"/>
      <c r="SS90" s="60"/>
      <c r="ST90" s="60"/>
      <c r="SU90" s="60"/>
      <c r="SV90" s="60"/>
      <c r="SW90" s="60"/>
      <c r="SX90" s="60"/>
      <c r="SY90" s="60"/>
      <c r="SZ90" s="60"/>
      <c r="TA90" s="60"/>
      <c r="TB90" s="60"/>
      <c r="TC90" s="60"/>
      <c r="TD90" s="60"/>
      <c r="TE90" s="60"/>
      <c r="TF90" s="60"/>
      <c r="TG90" s="60"/>
      <c r="TH90" s="60"/>
      <c r="TI90" s="60"/>
      <c r="TJ90" s="60"/>
      <c r="TK90" s="60"/>
      <c r="TL90" s="60"/>
      <c r="TM90" s="60"/>
      <c r="TN90" s="60"/>
      <c r="TO90" s="60"/>
      <c r="TP90" s="60"/>
      <c r="TQ90" s="60"/>
      <c r="TR90" s="60"/>
      <c r="TS90" s="60"/>
      <c r="TT90" s="60"/>
      <c r="TU90" s="60"/>
      <c r="TV90" s="60"/>
      <c r="TW90" s="60"/>
      <c r="TX90" s="60"/>
      <c r="TY90" s="60"/>
      <c r="TZ90" s="60"/>
      <c r="UA90" s="60"/>
      <c r="UB90" s="60"/>
      <c r="UC90" s="60"/>
      <c r="UD90" s="60"/>
      <c r="UE90" s="60"/>
      <c r="UF90" s="60"/>
      <c r="UG90" s="60"/>
      <c r="UH90" s="60"/>
      <c r="UI90" s="60"/>
      <c r="UJ90" s="60"/>
      <c r="UK90" s="60"/>
      <c r="UL90" s="60"/>
      <c r="UM90" s="60"/>
      <c r="UN90" s="60"/>
      <c r="UO90" s="60"/>
      <c r="UP90" s="60"/>
      <c r="UQ90" s="60"/>
      <c r="UR90" s="60"/>
      <c r="US90" s="60"/>
      <c r="UT90" s="60"/>
      <c r="UU90" s="60"/>
      <c r="UV90" s="60"/>
      <c r="UW90" s="60"/>
      <c r="UX90" s="60"/>
      <c r="UY90" s="60"/>
      <c r="UZ90" s="60"/>
      <c r="VA90" s="60"/>
      <c r="VB90" s="60"/>
      <c r="VC90" s="60"/>
      <c r="VD90" s="60"/>
      <c r="VE90" s="60"/>
      <c r="VF90" s="60"/>
      <c r="VG90" s="60"/>
      <c r="VH90" s="60"/>
      <c r="VI90" s="60"/>
      <c r="VJ90" s="60"/>
      <c r="VK90" s="60"/>
      <c r="VL90" s="60"/>
      <c r="VM90" s="60"/>
      <c r="VN90" s="60"/>
      <c r="VO90" s="60"/>
      <c r="VP90" s="60"/>
      <c r="VQ90" s="60"/>
      <c r="VR90" s="60"/>
      <c r="VS90" s="60"/>
      <c r="VT90" s="60"/>
      <c r="VU90" s="60"/>
      <c r="VV90" s="60"/>
      <c r="VW90" s="60"/>
      <c r="VX90" s="60"/>
      <c r="VY90" s="60"/>
      <c r="VZ90" s="60"/>
      <c r="WA90" s="60"/>
      <c r="WB90" s="60"/>
      <c r="WC90" s="60"/>
      <c r="WD90" s="60"/>
      <c r="WE90" s="60"/>
      <c r="WF90" s="60"/>
      <c r="WG90" s="60"/>
      <c r="WH90" s="60"/>
      <c r="WI90" s="60"/>
      <c r="WJ90" s="60"/>
      <c r="WK90" s="60"/>
      <c r="WL90" s="60"/>
      <c r="WM90" s="60"/>
      <c r="WN90" s="60"/>
      <c r="WO90" s="60"/>
      <c r="WP90" s="60"/>
      <c r="WQ90" s="60"/>
      <c r="WR90" s="60"/>
      <c r="WS90" s="60"/>
      <c r="WT90" s="60"/>
      <c r="WU90" s="60"/>
      <c r="WV90" s="60"/>
      <c r="WW90" s="60"/>
      <c r="WX90" s="60"/>
      <c r="WY90" s="60"/>
      <c r="WZ90" s="60"/>
      <c r="XA90" s="60"/>
      <c r="XB90" s="60"/>
      <c r="XC90" s="60"/>
      <c r="XD90" s="60"/>
      <c r="XE90" s="60"/>
      <c r="XF90" s="60"/>
      <c r="XG90" s="60"/>
      <c r="XH90" s="60"/>
      <c r="XI90" s="60"/>
      <c r="XJ90" s="60"/>
      <c r="XK90" s="60"/>
      <c r="XL90" s="60"/>
      <c r="XM90" s="60"/>
      <c r="XN90" s="60"/>
      <c r="XO90" s="60"/>
      <c r="XP90" s="60"/>
      <c r="XQ90" s="60"/>
      <c r="XR90" s="60"/>
      <c r="XS90" s="60"/>
      <c r="XT90" s="60"/>
      <c r="XU90" s="60"/>
      <c r="XV90" s="60"/>
      <c r="XW90" s="60"/>
      <c r="XX90" s="60"/>
      <c r="XY90" s="60"/>
      <c r="XZ90" s="60"/>
      <c r="YA90" s="60"/>
      <c r="YB90" s="60"/>
      <c r="YC90" s="60"/>
      <c r="YD90" s="60"/>
      <c r="YE90" s="60"/>
      <c r="YF90" s="60"/>
      <c r="YG90" s="60"/>
      <c r="YH90" s="60"/>
      <c r="YI90" s="60"/>
      <c r="YJ90" s="60"/>
      <c r="YK90" s="60"/>
      <c r="YL90" s="60"/>
      <c r="YM90" s="60"/>
      <c r="YN90" s="60"/>
      <c r="YO90" s="60"/>
      <c r="YP90" s="60"/>
      <c r="YQ90" s="60"/>
      <c r="YR90" s="60"/>
      <c r="YS90" s="60"/>
      <c r="YT90" s="60"/>
      <c r="YU90" s="60"/>
      <c r="YV90" s="60"/>
      <c r="YW90" s="60"/>
      <c r="YX90" s="60"/>
      <c r="YY90" s="60"/>
      <c r="YZ90" s="60"/>
      <c r="ZA90" s="60"/>
      <c r="ZB90" s="60"/>
      <c r="ZC90" s="60"/>
      <c r="ZD90" s="60"/>
      <c r="ZE90" s="60"/>
      <c r="ZF90" s="60"/>
      <c r="ZG90" s="60"/>
      <c r="ZH90" s="60"/>
      <c r="ZI90" s="60"/>
      <c r="ZJ90" s="60"/>
      <c r="ZK90" s="60"/>
      <c r="ZL90" s="60"/>
      <c r="ZM90" s="60"/>
      <c r="ZN90" s="60"/>
      <c r="ZO90" s="60"/>
      <c r="ZP90" s="60"/>
      <c r="ZQ90" s="60"/>
      <c r="ZR90" s="60"/>
      <c r="ZS90" s="60"/>
      <c r="ZT90" s="60"/>
      <c r="ZU90" s="60"/>
      <c r="ZV90" s="60"/>
      <c r="ZW90" s="60"/>
      <c r="ZX90" s="60"/>
      <c r="ZY90" s="60"/>
      <c r="ZZ90" s="60"/>
      <c r="AAA90" s="60"/>
      <c r="AAB90" s="60"/>
      <c r="AAC90" s="60"/>
      <c r="AAD90" s="60"/>
      <c r="AAE90" s="60"/>
      <c r="AAF90" s="60"/>
      <c r="AAG90" s="60"/>
      <c r="AAH90" s="60"/>
      <c r="AAI90" s="60"/>
      <c r="AAJ90" s="60"/>
      <c r="AAK90" s="60"/>
      <c r="AAL90" s="60"/>
      <c r="AAM90" s="60"/>
      <c r="AAN90" s="60"/>
      <c r="AAO90" s="60"/>
      <c r="AAP90" s="60"/>
      <c r="AAQ90" s="60"/>
      <c r="AAR90" s="60"/>
      <c r="AAS90" s="60"/>
      <c r="AAT90" s="60"/>
      <c r="AAU90" s="60"/>
      <c r="AAV90" s="60"/>
    </row>
    <row r="91" spans="1:724" ht="21" customHeight="1">
      <c r="A91" s="28">
        <v>3</v>
      </c>
      <c r="B91" s="58">
        <v>5305264</v>
      </c>
      <c r="C91" s="27" t="s">
        <v>95</v>
      </c>
      <c r="D91" s="78" t="s">
        <v>50</v>
      </c>
      <c r="E91" s="62">
        <v>4</v>
      </c>
      <c r="F91" s="30">
        <f>VLOOKUP(B91,'Estampados por manguera'!A$2:B$500,2,FALSE)</f>
        <v>1</v>
      </c>
      <c r="G91" s="30">
        <f t="shared" si="73"/>
        <v>4</v>
      </c>
      <c r="H91" s="20">
        <v>6</v>
      </c>
      <c r="I91" s="30">
        <f t="shared" si="74"/>
        <v>24</v>
      </c>
      <c r="J91" s="32">
        <f t="shared" si="75"/>
        <v>180</v>
      </c>
      <c r="K91" s="30">
        <f t="shared" si="76"/>
        <v>204</v>
      </c>
      <c r="L91" s="32">
        <v>1209</v>
      </c>
      <c r="M91" s="30">
        <f>VLOOKUP(B91,'Mangueras por contenedor'!A$2:B$500,2,FALSE)</f>
        <v>35</v>
      </c>
      <c r="N91" s="45">
        <f t="shared" si="77"/>
        <v>0.11428571428571428</v>
      </c>
      <c r="O91" s="11">
        <f t="shared" si="78"/>
        <v>7</v>
      </c>
      <c r="P91" s="32">
        <f t="shared" si="79"/>
        <v>210</v>
      </c>
      <c r="Q91" s="11">
        <f t="shared" si="80"/>
        <v>3</v>
      </c>
      <c r="R91" s="32">
        <f t="shared" si="81"/>
        <v>630</v>
      </c>
      <c r="S91" s="32">
        <f t="shared" si="82"/>
        <v>21</v>
      </c>
      <c r="T91" s="32">
        <f t="shared" si="83"/>
        <v>105</v>
      </c>
      <c r="U91" s="59" t="str">
        <f t="shared" si="94"/>
        <v/>
      </c>
      <c r="V91" s="59" t="str">
        <f t="shared" si="94"/>
        <v/>
      </c>
      <c r="W91" s="59" t="str">
        <f t="shared" si="94"/>
        <v/>
      </c>
      <c r="X91" s="59" t="str">
        <f t="shared" si="94"/>
        <v/>
      </c>
      <c r="Y91" s="59" t="str">
        <f t="shared" si="94"/>
        <v/>
      </c>
      <c r="Z91" s="59" t="str">
        <f t="shared" si="94"/>
        <v/>
      </c>
      <c r="AA91" s="59" t="str">
        <f t="shared" si="94"/>
        <v/>
      </c>
      <c r="AB91" s="59" t="str">
        <f t="shared" si="94"/>
        <v/>
      </c>
      <c r="AC91" s="59" t="str">
        <f t="shared" si="94"/>
        <v/>
      </c>
      <c r="AD91" s="59" t="str">
        <f t="shared" si="94"/>
        <v/>
      </c>
      <c r="AE91" s="59" t="str">
        <f t="shared" si="95"/>
        <v/>
      </c>
      <c r="AF91" s="59" t="str">
        <f t="shared" si="95"/>
        <v/>
      </c>
      <c r="AG91" s="59" t="str">
        <f t="shared" si="95"/>
        <v/>
      </c>
      <c r="AH91" s="67" t="str">
        <f t="shared" si="95"/>
        <v/>
      </c>
      <c r="AI91" s="67" t="str">
        <f t="shared" si="95"/>
        <v/>
      </c>
      <c r="AJ91" s="67" t="str">
        <f t="shared" si="95"/>
        <v/>
      </c>
      <c r="AK91" s="67" t="str">
        <f t="shared" si="95"/>
        <v/>
      </c>
      <c r="AL91" s="67" t="str">
        <f t="shared" si="95"/>
        <v/>
      </c>
      <c r="AM91" s="67" t="str">
        <f t="shared" si="95"/>
        <v/>
      </c>
      <c r="AN91" s="67" t="str">
        <f t="shared" si="95"/>
        <v/>
      </c>
      <c r="AO91" s="67" t="str">
        <f t="shared" si="95"/>
        <v>X</v>
      </c>
      <c r="AP91" s="67" t="str">
        <f t="shared" si="95"/>
        <v/>
      </c>
      <c r="AQ91" s="67" t="str">
        <f t="shared" si="97"/>
        <v/>
      </c>
      <c r="AR91" s="67" t="str">
        <f t="shared" si="97"/>
        <v/>
      </c>
      <c r="AS91" s="67" t="str">
        <f t="shared" si="96"/>
        <v/>
      </c>
      <c r="AT91" s="67" t="str">
        <f t="shared" si="96"/>
        <v/>
      </c>
      <c r="AU91" s="68" t="str">
        <f t="shared" si="96"/>
        <v/>
      </c>
      <c r="AV91" s="68" t="str">
        <f t="shared" si="96"/>
        <v/>
      </c>
      <c r="AW91" s="68" t="str">
        <f t="shared" si="93"/>
        <v/>
      </c>
      <c r="AX91" s="68" t="str">
        <f t="shared" si="93"/>
        <v/>
      </c>
      <c r="AY91" s="68" t="str">
        <f t="shared" si="92"/>
        <v/>
      </c>
      <c r="AZ91" s="68" t="str">
        <f t="shared" si="88"/>
        <v/>
      </c>
      <c r="BA91" s="68" t="str">
        <f t="shared" si="88"/>
        <v/>
      </c>
    </row>
    <row r="92" spans="1:724" ht="21" customHeight="1">
      <c r="A92" s="28">
        <v>3</v>
      </c>
      <c r="B92" s="58">
        <v>5305314</v>
      </c>
      <c r="C92" s="27" t="s">
        <v>94</v>
      </c>
      <c r="D92" s="78" t="s">
        <v>50</v>
      </c>
      <c r="E92" s="62">
        <v>4</v>
      </c>
      <c r="F92" s="31">
        <f>VLOOKUP(B92,'Estampados por manguera'!A$2:B$500,2,FALSE)</f>
        <v>1</v>
      </c>
      <c r="G92" s="31">
        <f t="shared" si="73"/>
        <v>4</v>
      </c>
      <c r="H92" s="32">
        <v>6</v>
      </c>
      <c r="I92" s="29">
        <f t="shared" si="74"/>
        <v>24</v>
      </c>
      <c r="J92" s="32">
        <f t="shared" si="75"/>
        <v>180</v>
      </c>
      <c r="K92" s="31">
        <f t="shared" si="76"/>
        <v>204</v>
      </c>
      <c r="L92" s="11">
        <v>1208</v>
      </c>
      <c r="M92" s="31">
        <f>VLOOKUP(B92,'Mangueras por contenedor'!A$2:B$500,2,FALSE)</f>
        <v>65</v>
      </c>
      <c r="N92" s="35">
        <f t="shared" si="77"/>
        <v>6.1538461538461542E-2</v>
      </c>
      <c r="O92" s="11">
        <f t="shared" si="78"/>
        <v>13</v>
      </c>
      <c r="P92" s="11">
        <f t="shared" si="79"/>
        <v>390</v>
      </c>
      <c r="Q92" s="11">
        <f t="shared" si="80"/>
        <v>2</v>
      </c>
      <c r="R92" s="32">
        <f t="shared" si="81"/>
        <v>780</v>
      </c>
      <c r="S92" s="32">
        <f t="shared" si="82"/>
        <v>26</v>
      </c>
      <c r="T92" s="32">
        <f t="shared" si="83"/>
        <v>130</v>
      </c>
      <c r="U92" s="59" t="str">
        <f t="shared" si="94"/>
        <v/>
      </c>
      <c r="V92" s="59" t="str">
        <f t="shared" si="94"/>
        <v/>
      </c>
      <c r="W92" s="59" t="str">
        <f t="shared" si="94"/>
        <v/>
      </c>
      <c r="X92" s="59" t="str">
        <f t="shared" si="94"/>
        <v/>
      </c>
      <c r="Y92" s="59" t="str">
        <f t="shared" si="94"/>
        <v/>
      </c>
      <c r="Z92" s="59" t="str">
        <f t="shared" si="94"/>
        <v/>
      </c>
      <c r="AA92" s="59" t="str">
        <f t="shared" si="94"/>
        <v/>
      </c>
      <c r="AB92" s="59" t="str">
        <f t="shared" si="94"/>
        <v/>
      </c>
      <c r="AC92" s="59" t="str">
        <f t="shared" si="94"/>
        <v/>
      </c>
      <c r="AD92" s="59" t="str">
        <f t="shared" si="94"/>
        <v/>
      </c>
      <c r="AE92" s="59" t="str">
        <f t="shared" si="95"/>
        <v/>
      </c>
      <c r="AF92" s="59" t="str">
        <f t="shared" si="95"/>
        <v/>
      </c>
      <c r="AG92" s="59" t="str">
        <f t="shared" si="95"/>
        <v/>
      </c>
      <c r="AH92" s="67" t="str">
        <f t="shared" si="95"/>
        <v/>
      </c>
      <c r="AI92" s="67" t="str">
        <f t="shared" si="95"/>
        <v/>
      </c>
      <c r="AJ92" s="67" t="str">
        <f t="shared" si="95"/>
        <v/>
      </c>
      <c r="AK92" s="67" t="str">
        <f t="shared" si="95"/>
        <v/>
      </c>
      <c r="AL92" s="67" t="str">
        <f t="shared" si="95"/>
        <v/>
      </c>
      <c r="AM92" s="67" t="str">
        <f t="shared" si="95"/>
        <v/>
      </c>
      <c r="AN92" s="67" t="str">
        <f t="shared" si="95"/>
        <v/>
      </c>
      <c r="AO92" s="67" t="str">
        <f t="shared" si="95"/>
        <v/>
      </c>
      <c r="AP92" s="67" t="str">
        <f t="shared" si="95"/>
        <v/>
      </c>
      <c r="AQ92" s="67" t="str">
        <f t="shared" si="97"/>
        <v/>
      </c>
      <c r="AR92" s="67" t="str">
        <f t="shared" si="97"/>
        <v/>
      </c>
      <c r="AS92" s="67" t="str">
        <f t="shared" si="96"/>
        <v/>
      </c>
      <c r="AT92" s="67" t="str">
        <f t="shared" si="96"/>
        <v>X</v>
      </c>
      <c r="AU92" s="68" t="str">
        <f t="shared" si="96"/>
        <v/>
      </c>
      <c r="AV92" s="68" t="str">
        <f t="shared" si="96"/>
        <v/>
      </c>
      <c r="AW92" s="68" t="str">
        <f t="shared" si="93"/>
        <v/>
      </c>
      <c r="AX92" s="68" t="str">
        <f t="shared" si="93"/>
        <v/>
      </c>
      <c r="AY92" s="68" t="str">
        <f t="shared" si="92"/>
        <v/>
      </c>
      <c r="AZ92" s="68" t="str">
        <f t="shared" si="88"/>
        <v/>
      </c>
      <c r="BA92" s="68" t="str">
        <f t="shared" si="88"/>
        <v/>
      </c>
    </row>
    <row r="93" spans="1:724" ht="21" customHeight="1">
      <c r="A93" s="28">
        <v>3</v>
      </c>
      <c r="B93" s="58">
        <v>5305265</v>
      </c>
      <c r="C93" s="27" t="s">
        <v>95</v>
      </c>
      <c r="D93" s="78" t="s">
        <v>50</v>
      </c>
      <c r="E93" s="62">
        <v>4</v>
      </c>
      <c r="F93" s="31">
        <f>VLOOKUP(B93,'Estampados por manguera'!A$2:B$500,2,FALSE)</f>
        <v>1</v>
      </c>
      <c r="G93" s="31">
        <f t="shared" si="73"/>
        <v>4</v>
      </c>
      <c r="H93" s="20">
        <v>6</v>
      </c>
      <c r="I93" s="29">
        <f t="shared" si="74"/>
        <v>24</v>
      </c>
      <c r="J93" s="32">
        <f t="shared" si="75"/>
        <v>180</v>
      </c>
      <c r="K93" s="31">
        <f t="shared" si="76"/>
        <v>204</v>
      </c>
      <c r="L93" s="11">
        <v>1210</v>
      </c>
      <c r="M93" s="31">
        <f>VLOOKUP(B93,'Mangueras por contenedor'!A$2:B$500,2,FALSE)</f>
        <v>43</v>
      </c>
      <c r="N93" s="35">
        <f t="shared" si="77"/>
        <v>9.3023255813953487E-2</v>
      </c>
      <c r="O93" s="11">
        <f t="shared" si="78"/>
        <v>9</v>
      </c>
      <c r="P93" s="11">
        <f t="shared" si="79"/>
        <v>258</v>
      </c>
      <c r="Q93" s="11">
        <f t="shared" si="80"/>
        <v>3</v>
      </c>
      <c r="R93" s="32">
        <f t="shared" si="81"/>
        <v>774</v>
      </c>
      <c r="S93" s="32">
        <f t="shared" si="82"/>
        <v>27</v>
      </c>
      <c r="T93" s="32">
        <f t="shared" si="83"/>
        <v>129</v>
      </c>
      <c r="U93" s="59" t="str">
        <f t="shared" si="94"/>
        <v/>
      </c>
      <c r="V93" s="59" t="str">
        <f t="shared" si="94"/>
        <v/>
      </c>
      <c r="W93" s="59" t="str">
        <f t="shared" si="94"/>
        <v/>
      </c>
      <c r="X93" s="59" t="str">
        <f t="shared" si="94"/>
        <v/>
      </c>
      <c r="Y93" s="59" t="str">
        <f t="shared" si="94"/>
        <v/>
      </c>
      <c r="Z93" s="59" t="str">
        <f t="shared" si="94"/>
        <v/>
      </c>
      <c r="AA93" s="59" t="str">
        <f t="shared" si="94"/>
        <v/>
      </c>
      <c r="AB93" s="59" t="str">
        <f t="shared" si="94"/>
        <v/>
      </c>
      <c r="AC93" s="59" t="str">
        <f t="shared" si="94"/>
        <v/>
      </c>
      <c r="AD93" s="59" t="str">
        <f t="shared" si="94"/>
        <v/>
      </c>
      <c r="AE93" s="59" t="str">
        <f t="shared" si="95"/>
        <v/>
      </c>
      <c r="AF93" s="59" t="str">
        <f t="shared" si="95"/>
        <v/>
      </c>
      <c r="AG93" s="59" t="str">
        <f t="shared" si="95"/>
        <v/>
      </c>
      <c r="AH93" s="67" t="str">
        <f t="shared" si="95"/>
        <v/>
      </c>
      <c r="AI93" s="67" t="str">
        <f t="shared" si="95"/>
        <v/>
      </c>
      <c r="AJ93" s="67" t="str">
        <f t="shared" si="95"/>
        <v/>
      </c>
      <c r="AK93" s="67" t="str">
        <f t="shared" si="95"/>
        <v/>
      </c>
      <c r="AL93" s="67" t="str">
        <f t="shared" si="95"/>
        <v/>
      </c>
      <c r="AM93" s="67" t="str">
        <f t="shared" si="95"/>
        <v/>
      </c>
      <c r="AN93" s="67" t="str">
        <f t="shared" si="95"/>
        <v/>
      </c>
      <c r="AO93" s="67" t="str">
        <f t="shared" si="95"/>
        <v/>
      </c>
      <c r="AP93" s="67" t="str">
        <f t="shared" si="95"/>
        <v/>
      </c>
      <c r="AQ93" s="67" t="str">
        <f t="shared" si="97"/>
        <v/>
      </c>
      <c r="AR93" s="67" t="str">
        <f t="shared" si="97"/>
        <v/>
      </c>
      <c r="AS93" s="67" t="str">
        <f t="shared" si="96"/>
        <v/>
      </c>
      <c r="AT93" s="67" t="str">
        <f t="shared" si="96"/>
        <v/>
      </c>
      <c r="AU93" s="68" t="str">
        <f t="shared" si="96"/>
        <v>X</v>
      </c>
      <c r="AV93" s="68" t="str">
        <f t="shared" si="96"/>
        <v/>
      </c>
      <c r="AW93" s="68" t="str">
        <f t="shared" si="93"/>
        <v/>
      </c>
      <c r="AX93" s="68" t="str">
        <f t="shared" si="93"/>
        <v/>
      </c>
      <c r="AY93" s="68" t="str">
        <f t="shared" si="92"/>
        <v/>
      </c>
      <c r="AZ93" s="68" t="str">
        <f t="shared" si="88"/>
        <v/>
      </c>
      <c r="BA93" s="68" t="str">
        <f t="shared" si="88"/>
        <v/>
      </c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  <c r="LI93" s="60"/>
      <c r="LJ93" s="60"/>
      <c r="LK93" s="60"/>
      <c r="LL93" s="60"/>
      <c r="LM93" s="60"/>
      <c r="LN93" s="60"/>
      <c r="LO93" s="60"/>
      <c r="LP93" s="60"/>
      <c r="LQ93" s="60"/>
      <c r="LR93" s="60"/>
      <c r="LS93" s="60"/>
      <c r="LT93" s="60"/>
      <c r="LU93" s="60"/>
      <c r="LV93" s="60"/>
      <c r="LW93" s="60"/>
      <c r="LX93" s="60"/>
      <c r="LY93" s="60"/>
      <c r="LZ93" s="60"/>
      <c r="MA93" s="60"/>
      <c r="MB93" s="60"/>
      <c r="MC93" s="60"/>
      <c r="MD93" s="60"/>
      <c r="ME93" s="60"/>
      <c r="MF93" s="60"/>
      <c r="MG93" s="60"/>
      <c r="MH93" s="60"/>
      <c r="MI93" s="60"/>
      <c r="MJ93" s="60"/>
      <c r="MK93" s="60"/>
      <c r="ML93" s="60"/>
      <c r="MM93" s="60"/>
      <c r="MN93" s="60"/>
      <c r="MO93" s="60"/>
      <c r="MP93" s="60"/>
      <c r="MQ93" s="60"/>
      <c r="MR93" s="60"/>
      <c r="MS93" s="60"/>
      <c r="MT93" s="60"/>
      <c r="MU93" s="60"/>
      <c r="MV93" s="60"/>
      <c r="MW93" s="60"/>
      <c r="MX93" s="60"/>
      <c r="MY93" s="60"/>
      <c r="MZ93" s="60"/>
      <c r="NA93" s="60"/>
      <c r="NB93" s="60"/>
      <c r="NC93" s="60"/>
      <c r="ND93" s="60"/>
      <c r="NE93" s="60"/>
      <c r="NF93" s="60"/>
      <c r="NG93" s="60"/>
      <c r="NH93" s="60"/>
      <c r="NI93" s="60"/>
      <c r="NJ93" s="60"/>
      <c r="NK93" s="60"/>
      <c r="NL93" s="60"/>
      <c r="NM93" s="60"/>
      <c r="NN93" s="60"/>
      <c r="NO93" s="60"/>
      <c r="NP93" s="60"/>
      <c r="NQ93" s="60"/>
      <c r="NR93" s="60"/>
      <c r="NS93" s="60"/>
      <c r="NT93" s="60"/>
      <c r="NU93" s="60"/>
      <c r="NV93" s="60"/>
      <c r="NW93" s="60"/>
      <c r="NX93" s="60"/>
      <c r="NY93" s="60"/>
      <c r="NZ93" s="60"/>
      <c r="OA93" s="60"/>
      <c r="OB93" s="60"/>
      <c r="OC93" s="60"/>
      <c r="OD93" s="60"/>
      <c r="OE93" s="60"/>
      <c r="OF93" s="60"/>
      <c r="OG93" s="60"/>
      <c r="OH93" s="60"/>
      <c r="OI93" s="60"/>
      <c r="OJ93" s="60"/>
      <c r="OK93" s="60"/>
      <c r="OL93" s="60"/>
      <c r="OM93" s="60"/>
      <c r="ON93" s="60"/>
      <c r="OO93" s="60"/>
      <c r="OP93" s="60"/>
      <c r="OQ93" s="60"/>
      <c r="OR93" s="60"/>
      <c r="OS93" s="60"/>
      <c r="OT93" s="60"/>
      <c r="OU93" s="60"/>
      <c r="OV93" s="60"/>
      <c r="OW93" s="60"/>
      <c r="OX93" s="60"/>
      <c r="OY93" s="60"/>
      <c r="OZ93" s="60"/>
      <c r="PA93" s="60"/>
      <c r="PB93" s="60"/>
      <c r="PC93" s="60"/>
      <c r="PD93" s="60"/>
      <c r="PE93" s="60"/>
      <c r="PF93" s="60"/>
      <c r="PG93" s="60"/>
      <c r="PH93" s="60"/>
      <c r="PI93" s="60"/>
      <c r="PJ93" s="60"/>
      <c r="PK93" s="60"/>
      <c r="PL93" s="60"/>
      <c r="PM93" s="60"/>
      <c r="PN93" s="60"/>
      <c r="PO93" s="60"/>
      <c r="PP93" s="60"/>
      <c r="PQ93" s="60"/>
      <c r="PR93" s="60"/>
      <c r="PS93" s="60"/>
      <c r="PT93" s="60"/>
      <c r="PU93" s="60"/>
      <c r="PV93" s="60"/>
      <c r="PW93" s="60"/>
      <c r="PX93" s="60"/>
      <c r="PY93" s="60"/>
      <c r="PZ93" s="60"/>
      <c r="QA93" s="60"/>
      <c r="QB93" s="60"/>
      <c r="QC93" s="60"/>
      <c r="QD93" s="60"/>
      <c r="QE93" s="60"/>
      <c r="QF93" s="60"/>
      <c r="QG93" s="60"/>
      <c r="QH93" s="60"/>
      <c r="QI93" s="60"/>
      <c r="QJ93" s="60"/>
      <c r="QK93" s="60"/>
      <c r="QL93" s="60"/>
      <c r="QM93" s="60"/>
      <c r="QN93" s="60"/>
      <c r="QO93" s="60"/>
      <c r="QP93" s="60"/>
      <c r="QQ93" s="60"/>
      <c r="QR93" s="60"/>
      <c r="QS93" s="60"/>
      <c r="QT93" s="60"/>
      <c r="QU93" s="60"/>
      <c r="QV93" s="60"/>
      <c r="QW93" s="60"/>
      <c r="QX93" s="60"/>
      <c r="QY93" s="60"/>
      <c r="QZ93" s="60"/>
      <c r="RA93" s="60"/>
      <c r="RB93" s="60"/>
      <c r="RC93" s="60"/>
      <c r="RD93" s="60"/>
      <c r="RE93" s="60"/>
      <c r="RF93" s="60"/>
      <c r="RG93" s="60"/>
      <c r="RH93" s="60"/>
      <c r="RI93" s="60"/>
      <c r="RJ93" s="60"/>
      <c r="RK93" s="60"/>
      <c r="RL93" s="60"/>
      <c r="RM93" s="60"/>
      <c r="RN93" s="60"/>
      <c r="RO93" s="60"/>
      <c r="RP93" s="60"/>
      <c r="RQ93" s="60"/>
      <c r="RR93" s="60"/>
      <c r="RS93" s="60"/>
      <c r="RT93" s="60"/>
      <c r="RU93" s="60"/>
      <c r="RV93" s="60"/>
      <c r="RW93" s="60"/>
      <c r="RX93" s="60"/>
      <c r="RY93" s="60"/>
      <c r="RZ93" s="60"/>
      <c r="SA93" s="60"/>
      <c r="SB93" s="60"/>
      <c r="SC93" s="60"/>
      <c r="SD93" s="60"/>
      <c r="SE93" s="60"/>
      <c r="SF93" s="60"/>
      <c r="SG93" s="60"/>
      <c r="SH93" s="60"/>
      <c r="SI93" s="60"/>
      <c r="SJ93" s="60"/>
      <c r="SK93" s="60"/>
      <c r="SL93" s="60"/>
      <c r="SM93" s="60"/>
      <c r="SN93" s="60"/>
      <c r="SO93" s="60"/>
      <c r="SP93" s="60"/>
      <c r="SQ93" s="60"/>
      <c r="SR93" s="60"/>
      <c r="SS93" s="60"/>
      <c r="ST93" s="60"/>
      <c r="SU93" s="60"/>
      <c r="SV93" s="60"/>
      <c r="SW93" s="60"/>
      <c r="SX93" s="60"/>
      <c r="SY93" s="60"/>
      <c r="SZ93" s="60"/>
      <c r="TA93" s="60"/>
      <c r="TB93" s="60"/>
      <c r="TC93" s="60"/>
      <c r="TD93" s="60"/>
      <c r="TE93" s="60"/>
      <c r="TF93" s="60"/>
      <c r="TG93" s="60"/>
      <c r="TH93" s="60"/>
      <c r="TI93" s="60"/>
      <c r="TJ93" s="60"/>
      <c r="TK93" s="60"/>
      <c r="TL93" s="60"/>
      <c r="TM93" s="60"/>
      <c r="TN93" s="60"/>
      <c r="TO93" s="60"/>
      <c r="TP93" s="60"/>
      <c r="TQ93" s="60"/>
      <c r="TR93" s="60"/>
      <c r="TS93" s="60"/>
      <c r="TT93" s="60"/>
      <c r="TU93" s="60"/>
      <c r="TV93" s="60"/>
      <c r="TW93" s="60"/>
      <c r="TX93" s="60"/>
      <c r="TY93" s="60"/>
      <c r="TZ93" s="60"/>
      <c r="UA93" s="60"/>
      <c r="UB93" s="60"/>
      <c r="UC93" s="60"/>
      <c r="UD93" s="60"/>
      <c r="UE93" s="60"/>
      <c r="UF93" s="60"/>
      <c r="UG93" s="60"/>
      <c r="UH93" s="60"/>
      <c r="UI93" s="60"/>
      <c r="UJ93" s="60"/>
      <c r="UK93" s="60"/>
      <c r="UL93" s="60"/>
      <c r="UM93" s="60"/>
      <c r="UN93" s="60"/>
      <c r="UO93" s="60"/>
      <c r="UP93" s="60"/>
      <c r="UQ93" s="60"/>
      <c r="UR93" s="60"/>
      <c r="US93" s="60"/>
      <c r="UT93" s="60"/>
      <c r="UU93" s="60"/>
      <c r="UV93" s="60"/>
      <c r="UW93" s="60"/>
      <c r="UX93" s="60"/>
      <c r="UY93" s="60"/>
      <c r="UZ93" s="60"/>
      <c r="VA93" s="60"/>
      <c r="VB93" s="60"/>
      <c r="VC93" s="60"/>
      <c r="VD93" s="60"/>
      <c r="VE93" s="60"/>
      <c r="VF93" s="60"/>
      <c r="VG93" s="60"/>
      <c r="VH93" s="60"/>
      <c r="VI93" s="60"/>
      <c r="VJ93" s="60"/>
      <c r="VK93" s="60"/>
      <c r="VL93" s="60"/>
      <c r="VM93" s="60"/>
      <c r="VN93" s="60"/>
      <c r="VO93" s="60"/>
      <c r="VP93" s="60"/>
      <c r="VQ93" s="60"/>
      <c r="VR93" s="60"/>
      <c r="VS93" s="60"/>
      <c r="VT93" s="60"/>
      <c r="VU93" s="60"/>
      <c r="VV93" s="60"/>
      <c r="VW93" s="60"/>
      <c r="VX93" s="60"/>
      <c r="VY93" s="60"/>
      <c r="VZ93" s="60"/>
      <c r="WA93" s="60"/>
      <c r="WB93" s="60"/>
      <c r="WC93" s="60"/>
      <c r="WD93" s="60"/>
      <c r="WE93" s="60"/>
      <c r="WF93" s="60"/>
      <c r="WG93" s="60"/>
      <c r="WH93" s="60"/>
      <c r="WI93" s="60"/>
      <c r="WJ93" s="60"/>
      <c r="WK93" s="60"/>
      <c r="WL93" s="60"/>
      <c r="WM93" s="60"/>
      <c r="WN93" s="60"/>
      <c r="WO93" s="60"/>
      <c r="WP93" s="60"/>
      <c r="WQ93" s="60"/>
      <c r="WR93" s="60"/>
      <c r="WS93" s="60"/>
      <c r="WT93" s="60"/>
      <c r="WU93" s="60"/>
      <c r="WV93" s="60"/>
      <c r="WW93" s="60"/>
      <c r="WX93" s="60"/>
      <c r="WY93" s="60"/>
      <c r="WZ93" s="60"/>
      <c r="XA93" s="60"/>
      <c r="XB93" s="60"/>
      <c r="XC93" s="60"/>
      <c r="XD93" s="60"/>
      <c r="XE93" s="60"/>
      <c r="XF93" s="60"/>
      <c r="XG93" s="60"/>
      <c r="XH93" s="60"/>
      <c r="XI93" s="60"/>
      <c r="XJ93" s="60"/>
      <c r="XK93" s="60"/>
      <c r="XL93" s="60"/>
      <c r="XM93" s="60"/>
      <c r="XN93" s="60"/>
      <c r="XO93" s="60"/>
      <c r="XP93" s="60"/>
      <c r="XQ93" s="60"/>
      <c r="XR93" s="60"/>
      <c r="XS93" s="60"/>
      <c r="XT93" s="60"/>
      <c r="XU93" s="60"/>
      <c r="XV93" s="60"/>
      <c r="XW93" s="60"/>
      <c r="XX93" s="60"/>
      <c r="XY93" s="60"/>
      <c r="XZ93" s="60"/>
      <c r="YA93" s="60"/>
      <c r="YB93" s="60"/>
      <c r="YC93" s="60"/>
      <c r="YD93" s="60"/>
      <c r="YE93" s="60"/>
      <c r="YF93" s="60"/>
      <c r="YG93" s="60"/>
      <c r="YH93" s="60"/>
      <c r="YI93" s="60"/>
      <c r="YJ93" s="60"/>
      <c r="YK93" s="60"/>
      <c r="YL93" s="60"/>
      <c r="YM93" s="60"/>
      <c r="YN93" s="60"/>
      <c r="YO93" s="60"/>
      <c r="YP93" s="60"/>
      <c r="YQ93" s="60"/>
      <c r="YR93" s="60"/>
      <c r="YS93" s="60"/>
      <c r="YT93" s="60"/>
      <c r="YU93" s="60"/>
      <c r="YV93" s="60"/>
      <c r="YW93" s="60"/>
      <c r="YX93" s="60"/>
      <c r="YY93" s="60"/>
      <c r="YZ93" s="60"/>
      <c r="ZA93" s="60"/>
      <c r="ZB93" s="60"/>
      <c r="ZC93" s="60"/>
      <c r="ZD93" s="60"/>
      <c r="ZE93" s="60"/>
      <c r="ZF93" s="60"/>
      <c r="ZG93" s="60"/>
      <c r="ZH93" s="60"/>
      <c r="ZI93" s="60"/>
      <c r="ZJ93" s="60"/>
      <c r="ZK93" s="60"/>
      <c r="ZL93" s="60"/>
      <c r="ZM93" s="60"/>
      <c r="ZN93" s="60"/>
      <c r="ZO93" s="60"/>
      <c r="ZP93" s="60"/>
      <c r="ZQ93" s="60"/>
      <c r="ZR93" s="60"/>
      <c r="ZS93" s="60"/>
      <c r="ZT93" s="60"/>
      <c r="ZU93" s="60"/>
      <c r="ZV93" s="60"/>
      <c r="ZW93" s="60"/>
      <c r="ZX93" s="60"/>
      <c r="ZY93" s="60"/>
      <c r="ZZ93" s="60"/>
      <c r="AAA93" s="60"/>
      <c r="AAB93" s="60"/>
      <c r="AAC93" s="60"/>
      <c r="AAD93" s="60"/>
      <c r="AAE93" s="60"/>
      <c r="AAF93" s="60"/>
      <c r="AAG93" s="60"/>
      <c r="AAH93" s="60"/>
      <c r="AAI93" s="60"/>
      <c r="AAJ93" s="60"/>
      <c r="AAK93" s="60"/>
      <c r="AAL93" s="60"/>
      <c r="AAM93" s="60"/>
      <c r="AAN93" s="60"/>
      <c r="AAO93" s="60"/>
      <c r="AAP93" s="60"/>
      <c r="AAQ93" s="60"/>
      <c r="AAR93" s="60"/>
      <c r="AAS93" s="60"/>
      <c r="AAT93" s="60"/>
      <c r="AAU93" s="60"/>
      <c r="AAV93" s="60"/>
    </row>
    <row r="94" spans="1:724" ht="21" customHeight="1">
      <c r="A94" s="44">
        <v>3</v>
      </c>
      <c r="B94" s="58">
        <v>3185809</v>
      </c>
      <c r="C94" s="27" t="s">
        <v>16</v>
      </c>
      <c r="D94" s="78" t="s">
        <v>118</v>
      </c>
      <c r="E94" s="62">
        <v>3</v>
      </c>
      <c r="F94" s="30">
        <f>VLOOKUP(B94,'Estampados por manguera'!A$2:B$500,2,FALSE)</f>
        <v>1</v>
      </c>
      <c r="G94" s="30">
        <f t="shared" si="73"/>
        <v>3</v>
      </c>
      <c r="H94" s="20">
        <v>6</v>
      </c>
      <c r="I94" s="30">
        <f t="shared" si="74"/>
        <v>18</v>
      </c>
      <c r="J94" s="32">
        <f t="shared" si="75"/>
        <v>180</v>
      </c>
      <c r="K94" s="30">
        <f t="shared" si="76"/>
        <v>198</v>
      </c>
      <c r="L94" s="32">
        <v>1200</v>
      </c>
      <c r="M94" s="30">
        <f>VLOOKUP(B94,'Mangueras por contenedor'!A$2:B$500,2,FALSE)</f>
        <v>50</v>
      </c>
      <c r="N94" s="45">
        <f t="shared" si="77"/>
        <v>0.06</v>
      </c>
      <c r="O94" s="11">
        <f t="shared" si="78"/>
        <v>14</v>
      </c>
      <c r="P94" s="32">
        <f t="shared" si="79"/>
        <v>300</v>
      </c>
      <c r="Q94" s="11">
        <f t="shared" si="80"/>
        <v>2</v>
      </c>
      <c r="R94" s="32">
        <f t="shared" si="81"/>
        <v>600</v>
      </c>
      <c r="S94" s="32">
        <f t="shared" si="82"/>
        <v>28</v>
      </c>
      <c r="T94" s="32">
        <f t="shared" si="83"/>
        <v>100</v>
      </c>
      <c r="U94" s="59" t="str">
        <f t="shared" si="94"/>
        <v/>
      </c>
      <c r="V94" s="59" t="str">
        <f t="shared" si="94"/>
        <v/>
      </c>
      <c r="W94" s="59" t="str">
        <f t="shared" si="94"/>
        <v/>
      </c>
      <c r="X94" s="59" t="str">
        <f t="shared" si="94"/>
        <v/>
      </c>
      <c r="Y94" s="59" t="str">
        <f t="shared" si="94"/>
        <v/>
      </c>
      <c r="Z94" s="59" t="str">
        <f t="shared" si="94"/>
        <v/>
      </c>
      <c r="AA94" s="59" t="str">
        <f t="shared" si="94"/>
        <v/>
      </c>
      <c r="AB94" s="59" t="str">
        <f t="shared" si="94"/>
        <v/>
      </c>
      <c r="AC94" s="59" t="str">
        <f t="shared" si="94"/>
        <v/>
      </c>
      <c r="AD94" s="59" t="str">
        <f t="shared" si="94"/>
        <v/>
      </c>
      <c r="AE94" s="59" t="str">
        <f t="shared" si="95"/>
        <v/>
      </c>
      <c r="AF94" s="59" t="str">
        <f t="shared" si="95"/>
        <v/>
      </c>
      <c r="AG94" s="59" t="str">
        <f t="shared" si="95"/>
        <v/>
      </c>
      <c r="AH94" s="67" t="str">
        <f t="shared" si="95"/>
        <v/>
      </c>
      <c r="AI94" s="67" t="str">
        <f t="shared" si="95"/>
        <v/>
      </c>
      <c r="AJ94" s="67" t="str">
        <f t="shared" si="95"/>
        <v/>
      </c>
      <c r="AK94" s="67" t="str">
        <f t="shared" si="95"/>
        <v/>
      </c>
      <c r="AL94" s="67" t="str">
        <f t="shared" si="95"/>
        <v/>
      </c>
      <c r="AM94" s="67" t="str">
        <f t="shared" si="95"/>
        <v/>
      </c>
      <c r="AN94" s="67" t="str">
        <f t="shared" si="95"/>
        <v/>
      </c>
      <c r="AO94" s="67" t="str">
        <f t="shared" si="95"/>
        <v/>
      </c>
      <c r="AP94" s="67" t="str">
        <f t="shared" si="95"/>
        <v/>
      </c>
      <c r="AQ94" s="67" t="str">
        <f t="shared" si="97"/>
        <v/>
      </c>
      <c r="AR94" s="67" t="str">
        <f t="shared" si="97"/>
        <v/>
      </c>
      <c r="AS94" s="67" t="str">
        <f t="shared" si="96"/>
        <v/>
      </c>
      <c r="AT94" s="67" t="str">
        <f t="shared" si="96"/>
        <v/>
      </c>
      <c r="AU94" s="68" t="str">
        <f t="shared" si="96"/>
        <v/>
      </c>
      <c r="AV94" s="68" t="str">
        <f t="shared" si="96"/>
        <v>X</v>
      </c>
      <c r="AW94" s="68" t="str">
        <f t="shared" si="93"/>
        <v/>
      </c>
      <c r="AX94" s="68" t="str">
        <f t="shared" si="93"/>
        <v/>
      </c>
      <c r="AY94" s="68" t="str">
        <f t="shared" si="92"/>
        <v/>
      </c>
      <c r="AZ94" s="68" t="str">
        <f t="shared" si="88"/>
        <v/>
      </c>
      <c r="BA94" s="68" t="str">
        <f t="shared" si="88"/>
        <v/>
      </c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  <c r="DW94" s="46"/>
      <c r="DX94" s="46"/>
      <c r="DY94" s="46"/>
      <c r="DZ94" s="46"/>
      <c r="EA94" s="46"/>
      <c r="EB94" s="46"/>
      <c r="EC94" s="46"/>
      <c r="ED94" s="46"/>
      <c r="EE94" s="46"/>
      <c r="EF94" s="46"/>
      <c r="EG94" s="46"/>
      <c r="EH94" s="46"/>
      <c r="EI94" s="46"/>
      <c r="EJ94" s="46"/>
      <c r="EK94" s="46"/>
      <c r="EL94" s="46"/>
      <c r="EM94" s="46"/>
      <c r="EN94" s="46"/>
      <c r="EO94" s="46"/>
      <c r="EP94" s="46"/>
      <c r="EQ94" s="46"/>
      <c r="ER94" s="46"/>
      <c r="ES94" s="46"/>
      <c r="ET94" s="46"/>
      <c r="EU94" s="46"/>
      <c r="EV94" s="46"/>
      <c r="EW94" s="46"/>
      <c r="EX94" s="46"/>
      <c r="EY94" s="46"/>
      <c r="EZ94" s="46"/>
      <c r="FA94" s="46"/>
      <c r="FB94" s="46"/>
      <c r="FC94" s="46"/>
      <c r="FD94" s="46"/>
      <c r="FE94" s="46"/>
      <c r="FF94" s="46"/>
      <c r="FG94" s="46"/>
      <c r="FH94" s="46"/>
      <c r="FI94" s="46"/>
      <c r="FJ94" s="46"/>
      <c r="FK94" s="46"/>
      <c r="FL94" s="46"/>
      <c r="FM94" s="46"/>
      <c r="FN94" s="46"/>
      <c r="FO94" s="46"/>
      <c r="FP94" s="46"/>
      <c r="FQ94" s="46"/>
      <c r="FR94" s="46"/>
      <c r="FS94" s="46"/>
      <c r="FT94" s="46"/>
      <c r="FU94" s="46"/>
      <c r="FV94" s="46"/>
      <c r="FW94" s="46"/>
      <c r="FX94" s="46"/>
      <c r="FY94" s="46"/>
      <c r="FZ94" s="46"/>
      <c r="GA94" s="46"/>
      <c r="GB94" s="46"/>
      <c r="GC94" s="46"/>
      <c r="GD94" s="46"/>
      <c r="GE94" s="46"/>
      <c r="GF94" s="46"/>
      <c r="GG94" s="46"/>
      <c r="GH94" s="46"/>
      <c r="GI94" s="46"/>
      <c r="GJ94" s="46"/>
      <c r="GK94" s="46"/>
      <c r="GL94" s="46"/>
      <c r="GM94" s="46"/>
      <c r="GN94" s="46"/>
      <c r="GO94" s="46"/>
      <c r="GP94" s="46"/>
      <c r="GQ94" s="46"/>
      <c r="GR94" s="46"/>
      <c r="GS94" s="46"/>
      <c r="GT94" s="46"/>
      <c r="GU94" s="46"/>
      <c r="GV94" s="46"/>
      <c r="GW94" s="46"/>
      <c r="GX94" s="46"/>
      <c r="GY94" s="46"/>
      <c r="GZ94" s="46"/>
      <c r="HA94" s="46"/>
      <c r="HB94" s="46"/>
      <c r="HC94" s="46"/>
      <c r="HD94" s="46"/>
      <c r="HE94" s="46"/>
      <c r="HF94" s="46"/>
      <c r="HG94" s="46"/>
      <c r="HH94" s="46"/>
      <c r="HI94" s="46"/>
      <c r="HJ94" s="46"/>
      <c r="HK94" s="46"/>
      <c r="HL94" s="46"/>
      <c r="HM94" s="46"/>
      <c r="HN94" s="46"/>
      <c r="HO94" s="46"/>
      <c r="HP94" s="46"/>
      <c r="HQ94" s="46"/>
      <c r="HR94" s="46"/>
      <c r="HS94" s="46"/>
      <c r="HT94" s="46"/>
      <c r="HU94" s="46"/>
      <c r="HV94" s="46"/>
      <c r="HW94" s="46"/>
      <c r="HX94" s="46"/>
      <c r="HY94" s="46"/>
      <c r="HZ94" s="46"/>
      <c r="IA94" s="46"/>
      <c r="IB94" s="46"/>
      <c r="IC94" s="46"/>
      <c r="ID94" s="46"/>
      <c r="IE94" s="46"/>
      <c r="IF94" s="46"/>
      <c r="IG94" s="46"/>
      <c r="IH94" s="46"/>
      <c r="II94" s="46"/>
      <c r="IJ94" s="46"/>
      <c r="IK94" s="46"/>
      <c r="IL94" s="46"/>
      <c r="IM94" s="46"/>
      <c r="IN94" s="46"/>
      <c r="IO94" s="46"/>
      <c r="IP94" s="46"/>
      <c r="IQ94" s="46"/>
      <c r="IR94" s="46"/>
      <c r="IS94" s="46"/>
      <c r="IT94" s="46"/>
      <c r="IU94" s="46"/>
      <c r="IV94" s="46"/>
      <c r="IW94" s="46"/>
      <c r="IX94" s="46"/>
      <c r="IY94" s="46"/>
      <c r="IZ94" s="46"/>
      <c r="JA94" s="46"/>
      <c r="JB94" s="46"/>
      <c r="JC94" s="46"/>
      <c r="JD94" s="46"/>
      <c r="JE94" s="46"/>
      <c r="JF94" s="46"/>
      <c r="JG94" s="46"/>
      <c r="JH94" s="46"/>
      <c r="JI94" s="46"/>
      <c r="JJ94" s="46"/>
      <c r="JK94" s="46"/>
      <c r="JL94" s="46"/>
      <c r="JM94" s="46"/>
      <c r="JN94" s="46"/>
      <c r="JO94" s="46"/>
      <c r="JP94" s="46"/>
      <c r="JQ94" s="46"/>
      <c r="JR94" s="46"/>
      <c r="JS94" s="46"/>
      <c r="JT94" s="46"/>
      <c r="JU94" s="46"/>
      <c r="JV94" s="46"/>
      <c r="JW94" s="46"/>
      <c r="JX94" s="46"/>
      <c r="JY94" s="46"/>
      <c r="JZ94" s="46"/>
      <c r="KA94" s="46"/>
      <c r="KB94" s="46"/>
      <c r="KC94" s="46"/>
      <c r="KD94" s="46"/>
      <c r="KE94" s="46"/>
      <c r="KF94" s="46"/>
      <c r="KG94" s="46"/>
      <c r="KH94" s="46"/>
      <c r="KI94" s="46"/>
      <c r="KJ94" s="46"/>
      <c r="KK94" s="46"/>
      <c r="KL94" s="46"/>
      <c r="KM94" s="46"/>
      <c r="KN94" s="46"/>
      <c r="KO94" s="46"/>
      <c r="KP94" s="46"/>
      <c r="KQ94" s="46"/>
      <c r="KR94" s="46"/>
      <c r="KS94" s="46"/>
      <c r="KT94" s="46"/>
      <c r="KU94" s="46"/>
      <c r="KV94" s="46"/>
      <c r="KW94" s="46"/>
      <c r="KX94" s="46"/>
      <c r="KY94" s="46"/>
      <c r="KZ94" s="46"/>
      <c r="LA94" s="46"/>
      <c r="LB94" s="46"/>
      <c r="LC94" s="46"/>
      <c r="LD94" s="46"/>
      <c r="LE94" s="46"/>
      <c r="LF94" s="46"/>
      <c r="LG94" s="46"/>
      <c r="LH94" s="46"/>
      <c r="LI94" s="46"/>
      <c r="LJ94" s="46"/>
      <c r="LK94" s="46"/>
      <c r="LL94" s="46"/>
      <c r="LM94" s="46"/>
      <c r="LN94" s="46"/>
      <c r="LO94" s="46"/>
      <c r="LP94" s="46"/>
      <c r="LQ94" s="46"/>
      <c r="LR94" s="46"/>
      <c r="LS94" s="46"/>
      <c r="LT94" s="46"/>
      <c r="LU94" s="46"/>
      <c r="LV94" s="46"/>
      <c r="LW94" s="46"/>
      <c r="LX94" s="46"/>
      <c r="LY94" s="46"/>
      <c r="LZ94" s="46"/>
      <c r="MA94" s="46"/>
      <c r="MB94" s="46"/>
      <c r="MC94" s="46"/>
      <c r="MD94" s="46"/>
      <c r="ME94" s="46"/>
      <c r="MF94" s="46"/>
      <c r="MG94" s="46"/>
      <c r="MH94" s="46"/>
      <c r="MI94" s="46"/>
      <c r="MJ94" s="46"/>
      <c r="MK94" s="46"/>
      <c r="ML94" s="46"/>
      <c r="MM94" s="46"/>
      <c r="MN94" s="46"/>
      <c r="MO94" s="46"/>
      <c r="MP94" s="46"/>
      <c r="MQ94" s="46"/>
      <c r="MR94" s="46"/>
      <c r="MS94" s="46"/>
      <c r="MT94" s="46"/>
      <c r="MU94" s="46"/>
      <c r="MV94" s="46"/>
      <c r="MW94" s="46"/>
      <c r="MX94" s="46"/>
      <c r="MY94" s="46"/>
      <c r="MZ94" s="46"/>
      <c r="NA94" s="46"/>
      <c r="NB94" s="46"/>
      <c r="NC94" s="46"/>
      <c r="ND94" s="46"/>
      <c r="NE94" s="46"/>
      <c r="NF94" s="46"/>
      <c r="NG94" s="46"/>
      <c r="NH94" s="46"/>
      <c r="NI94" s="46"/>
      <c r="NJ94" s="46"/>
      <c r="NK94" s="46"/>
      <c r="NL94" s="46"/>
      <c r="NM94" s="46"/>
      <c r="NN94" s="46"/>
      <c r="NO94" s="46"/>
      <c r="NP94" s="46"/>
      <c r="NQ94" s="46"/>
      <c r="NR94" s="46"/>
      <c r="NS94" s="46"/>
      <c r="NT94" s="46"/>
      <c r="NU94" s="46"/>
      <c r="NV94" s="46"/>
      <c r="NW94" s="46"/>
      <c r="NX94" s="46"/>
      <c r="NY94" s="46"/>
      <c r="NZ94" s="46"/>
      <c r="OA94" s="46"/>
      <c r="OB94" s="46"/>
      <c r="OC94" s="46"/>
      <c r="OD94" s="46"/>
      <c r="OE94" s="46"/>
      <c r="OF94" s="46"/>
      <c r="OG94" s="46"/>
      <c r="OH94" s="46"/>
      <c r="OI94" s="46"/>
      <c r="OJ94" s="46"/>
      <c r="OK94" s="46"/>
      <c r="OL94" s="46"/>
      <c r="OM94" s="46"/>
      <c r="ON94" s="46"/>
      <c r="OO94" s="46"/>
      <c r="OP94" s="46"/>
      <c r="OQ94" s="46"/>
      <c r="OR94" s="46"/>
      <c r="OS94" s="46"/>
      <c r="OT94" s="46"/>
      <c r="OU94" s="46"/>
      <c r="OV94" s="46"/>
      <c r="OW94" s="46"/>
      <c r="OX94" s="46"/>
      <c r="OY94" s="46"/>
      <c r="OZ94" s="46"/>
      <c r="PA94" s="46"/>
      <c r="PB94" s="46"/>
      <c r="PC94" s="46"/>
      <c r="PD94" s="46"/>
      <c r="PE94" s="46"/>
      <c r="PF94" s="46"/>
      <c r="PG94" s="46"/>
      <c r="PH94" s="46"/>
      <c r="PI94" s="46"/>
      <c r="PJ94" s="46"/>
      <c r="PK94" s="46"/>
      <c r="PL94" s="46"/>
      <c r="PM94" s="46"/>
      <c r="PN94" s="46"/>
      <c r="PO94" s="46"/>
      <c r="PP94" s="46"/>
      <c r="PQ94" s="46"/>
      <c r="PR94" s="46"/>
      <c r="PS94" s="46"/>
      <c r="PT94" s="46"/>
      <c r="PU94" s="46"/>
      <c r="PV94" s="46"/>
      <c r="PW94" s="46"/>
      <c r="PX94" s="46"/>
      <c r="PY94" s="46"/>
      <c r="PZ94" s="46"/>
      <c r="QA94" s="46"/>
      <c r="QB94" s="46"/>
      <c r="QC94" s="46"/>
      <c r="QD94" s="46"/>
      <c r="QE94" s="46"/>
      <c r="QF94" s="46"/>
      <c r="QG94" s="46"/>
      <c r="QH94" s="46"/>
      <c r="QI94" s="46"/>
      <c r="QJ94" s="46"/>
      <c r="QK94" s="46"/>
      <c r="QL94" s="46"/>
      <c r="QM94" s="46"/>
      <c r="QN94" s="46"/>
      <c r="QO94" s="46"/>
      <c r="QP94" s="46"/>
      <c r="QQ94" s="46"/>
      <c r="QR94" s="46"/>
      <c r="QS94" s="46"/>
      <c r="QT94" s="46"/>
      <c r="QU94" s="46"/>
      <c r="QV94" s="46"/>
      <c r="QW94" s="46"/>
      <c r="QX94" s="46"/>
      <c r="QY94" s="46"/>
      <c r="QZ94" s="46"/>
      <c r="RA94" s="46"/>
      <c r="RB94" s="46"/>
      <c r="RC94" s="46"/>
      <c r="RD94" s="46"/>
      <c r="RE94" s="46"/>
      <c r="RF94" s="46"/>
      <c r="RG94" s="46"/>
      <c r="RH94" s="46"/>
      <c r="RI94" s="46"/>
      <c r="RJ94" s="46"/>
      <c r="RK94" s="46"/>
      <c r="RL94" s="46"/>
      <c r="RM94" s="46"/>
      <c r="RN94" s="46"/>
      <c r="RO94" s="46"/>
      <c r="RP94" s="46"/>
      <c r="RQ94" s="46"/>
      <c r="RR94" s="46"/>
      <c r="RS94" s="46"/>
      <c r="RT94" s="46"/>
      <c r="RU94" s="46"/>
      <c r="RV94" s="46"/>
      <c r="RW94" s="46"/>
      <c r="RX94" s="46"/>
      <c r="RY94" s="46"/>
      <c r="RZ94" s="46"/>
      <c r="SA94" s="46"/>
      <c r="SB94" s="46"/>
      <c r="SC94" s="46"/>
      <c r="SD94" s="46"/>
      <c r="SE94" s="46"/>
      <c r="SF94" s="46"/>
      <c r="SG94" s="46"/>
      <c r="SH94" s="46"/>
      <c r="SI94" s="46"/>
      <c r="SJ94" s="46"/>
      <c r="SK94" s="46"/>
      <c r="SL94" s="46"/>
      <c r="SM94" s="46"/>
      <c r="SN94" s="46"/>
      <c r="SO94" s="46"/>
      <c r="SP94" s="46"/>
      <c r="SQ94" s="46"/>
      <c r="SR94" s="46"/>
      <c r="SS94" s="46"/>
      <c r="ST94" s="46"/>
      <c r="SU94" s="46"/>
      <c r="SV94" s="46"/>
      <c r="SW94" s="46"/>
      <c r="SX94" s="46"/>
      <c r="SY94" s="46"/>
      <c r="SZ94" s="46"/>
      <c r="TA94" s="46"/>
      <c r="TB94" s="46"/>
      <c r="TC94" s="46"/>
      <c r="TD94" s="46"/>
      <c r="TE94" s="46"/>
      <c r="TF94" s="46"/>
      <c r="TG94" s="46"/>
      <c r="TH94" s="46"/>
      <c r="TI94" s="46"/>
      <c r="TJ94" s="46"/>
      <c r="TK94" s="46"/>
      <c r="TL94" s="46"/>
      <c r="TM94" s="46"/>
      <c r="TN94" s="46"/>
      <c r="TO94" s="46"/>
      <c r="TP94" s="46"/>
      <c r="TQ94" s="46"/>
      <c r="TR94" s="46"/>
      <c r="TS94" s="46"/>
      <c r="TT94" s="46"/>
      <c r="TU94" s="46"/>
      <c r="TV94" s="46"/>
      <c r="TW94" s="46"/>
      <c r="TX94" s="46"/>
      <c r="TY94" s="46"/>
      <c r="TZ94" s="46"/>
      <c r="UA94" s="46"/>
      <c r="UB94" s="46"/>
      <c r="UC94" s="46"/>
      <c r="UD94" s="46"/>
      <c r="UE94" s="46"/>
      <c r="UF94" s="46"/>
      <c r="UG94" s="46"/>
      <c r="UH94" s="46"/>
      <c r="UI94" s="46"/>
      <c r="UJ94" s="46"/>
      <c r="UK94" s="46"/>
      <c r="UL94" s="46"/>
      <c r="UM94" s="46"/>
      <c r="UN94" s="46"/>
      <c r="UO94" s="46"/>
      <c r="UP94" s="46"/>
      <c r="UQ94" s="46"/>
      <c r="UR94" s="46"/>
      <c r="US94" s="46"/>
      <c r="UT94" s="46"/>
      <c r="UU94" s="46"/>
      <c r="UV94" s="46"/>
      <c r="UW94" s="46"/>
      <c r="UX94" s="46"/>
      <c r="UY94" s="46"/>
      <c r="UZ94" s="46"/>
      <c r="VA94" s="46"/>
      <c r="VB94" s="46"/>
      <c r="VC94" s="46"/>
      <c r="VD94" s="46"/>
      <c r="VE94" s="46"/>
      <c r="VF94" s="46"/>
      <c r="VG94" s="46"/>
      <c r="VH94" s="46"/>
      <c r="VI94" s="46"/>
      <c r="VJ94" s="46"/>
      <c r="VK94" s="46"/>
      <c r="VL94" s="46"/>
      <c r="VM94" s="46"/>
      <c r="VN94" s="46"/>
      <c r="VO94" s="46"/>
      <c r="VP94" s="46"/>
      <c r="VQ94" s="46"/>
      <c r="VR94" s="46"/>
      <c r="VS94" s="46"/>
      <c r="VT94" s="46"/>
      <c r="VU94" s="46"/>
      <c r="VV94" s="46"/>
      <c r="VW94" s="46"/>
      <c r="VX94" s="46"/>
      <c r="VY94" s="46"/>
      <c r="VZ94" s="46"/>
      <c r="WA94" s="46"/>
      <c r="WB94" s="46"/>
      <c r="WC94" s="46"/>
      <c r="WD94" s="46"/>
      <c r="WE94" s="46"/>
      <c r="WF94" s="46"/>
      <c r="WG94" s="46"/>
      <c r="WH94" s="46"/>
      <c r="WI94" s="46"/>
      <c r="WJ94" s="46"/>
      <c r="WK94" s="46"/>
      <c r="WL94" s="46"/>
      <c r="WM94" s="46"/>
      <c r="WN94" s="46"/>
      <c r="WO94" s="46"/>
      <c r="WP94" s="46"/>
      <c r="WQ94" s="46"/>
      <c r="WR94" s="46"/>
      <c r="WS94" s="46"/>
      <c r="WT94" s="46"/>
      <c r="WU94" s="46"/>
      <c r="WV94" s="46"/>
      <c r="WW94" s="46"/>
      <c r="WX94" s="46"/>
      <c r="WY94" s="46"/>
      <c r="WZ94" s="46"/>
      <c r="XA94" s="46"/>
      <c r="XB94" s="46"/>
      <c r="XC94" s="46"/>
      <c r="XD94" s="46"/>
      <c r="XE94" s="46"/>
      <c r="XF94" s="46"/>
      <c r="XG94" s="46"/>
      <c r="XH94" s="46"/>
      <c r="XI94" s="46"/>
      <c r="XJ94" s="46"/>
      <c r="XK94" s="46"/>
      <c r="XL94" s="46"/>
      <c r="XM94" s="46"/>
      <c r="XN94" s="46"/>
      <c r="XO94" s="46"/>
      <c r="XP94" s="46"/>
      <c r="XQ94" s="46"/>
      <c r="XR94" s="46"/>
      <c r="XS94" s="46"/>
      <c r="XT94" s="46"/>
      <c r="XU94" s="46"/>
      <c r="XV94" s="46"/>
      <c r="XW94" s="46"/>
      <c r="XX94" s="46"/>
      <c r="XY94" s="46"/>
      <c r="XZ94" s="46"/>
      <c r="YA94" s="46"/>
      <c r="YB94" s="46"/>
      <c r="YC94" s="46"/>
      <c r="YD94" s="46"/>
      <c r="YE94" s="46"/>
      <c r="YF94" s="46"/>
      <c r="YG94" s="46"/>
      <c r="YH94" s="46"/>
      <c r="YI94" s="46"/>
      <c r="YJ94" s="46"/>
      <c r="YK94" s="46"/>
      <c r="YL94" s="46"/>
      <c r="YM94" s="46"/>
      <c r="YN94" s="46"/>
      <c r="YO94" s="46"/>
      <c r="YP94" s="46"/>
      <c r="YQ94" s="46"/>
      <c r="YR94" s="46"/>
      <c r="YS94" s="46"/>
      <c r="YT94" s="46"/>
      <c r="YU94" s="46"/>
      <c r="YV94" s="46"/>
      <c r="YW94" s="46"/>
      <c r="YX94" s="46"/>
      <c r="YY94" s="46"/>
      <c r="YZ94" s="46"/>
      <c r="ZA94" s="46"/>
      <c r="ZB94" s="46"/>
      <c r="ZC94" s="46"/>
      <c r="ZD94" s="46"/>
      <c r="ZE94" s="46"/>
      <c r="ZF94" s="46"/>
      <c r="ZG94" s="46"/>
      <c r="ZH94" s="46"/>
      <c r="ZI94" s="46"/>
      <c r="ZJ94" s="46"/>
      <c r="ZK94" s="46"/>
      <c r="ZL94" s="46"/>
      <c r="ZM94" s="46"/>
      <c r="ZN94" s="46"/>
      <c r="ZO94" s="46"/>
      <c r="ZP94" s="46"/>
      <c r="ZQ94" s="46"/>
      <c r="ZR94" s="46"/>
      <c r="ZS94" s="46"/>
      <c r="ZT94" s="46"/>
      <c r="ZU94" s="46"/>
      <c r="ZV94" s="46"/>
      <c r="ZW94" s="46"/>
      <c r="ZX94" s="46"/>
      <c r="ZY94" s="46"/>
      <c r="ZZ94" s="46"/>
      <c r="AAA94" s="46"/>
      <c r="AAB94" s="46"/>
      <c r="AAC94" s="46"/>
      <c r="AAD94" s="46"/>
      <c r="AAE94" s="46"/>
      <c r="AAF94" s="46"/>
      <c r="AAG94" s="46"/>
      <c r="AAH94" s="46"/>
      <c r="AAI94" s="46"/>
      <c r="AAJ94" s="46"/>
      <c r="AAK94" s="46"/>
      <c r="AAL94" s="46"/>
      <c r="AAM94" s="46"/>
      <c r="AAN94" s="46"/>
      <c r="AAO94" s="46"/>
      <c r="AAP94" s="46"/>
      <c r="AAQ94" s="46"/>
      <c r="AAR94" s="46"/>
      <c r="AAS94" s="46"/>
      <c r="AAT94" s="46"/>
      <c r="AAU94" s="46"/>
      <c r="AAV94" s="46"/>
    </row>
    <row r="95" spans="1:724" ht="21" customHeight="1">
      <c r="A95" s="28">
        <v>3</v>
      </c>
      <c r="B95" s="58">
        <v>5205316</v>
      </c>
      <c r="C95" s="27" t="s">
        <v>88</v>
      </c>
      <c r="D95" s="78" t="s">
        <v>50</v>
      </c>
      <c r="E95" s="62">
        <v>3</v>
      </c>
      <c r="F95" s="30">
        <f>VLOOKUP(B95,'Estampados por manguera'!A$2:B$500,2,FALSE)</f>
        <v>2</v>
      </c>
      <c r="G95" s="30">
        <f t="shared" si="73"/>
        <v>6</v>
      </c>
      <c r="H95" s="20">
        <v>6</v>
      </c>
      <c r="I95" s="30">
        <f t="shared" si="74"/>
        <v>36</v>
      </c>
      <c r="J95" s="32">
        <f t="shared" si="75"/>
        <v>180</v>
      </c>
      <c r="K95" s="30">
        <f t="shared" si="76"/>
        <v>216</v>
      </c>
      <c r="L95" s="32">
        <v>1211</v>
      </c>
      <c r="M95" s="30">
        <f>VLOOKUP(B95,'Mangueras por contenedor'!A$2:B$500,2,FALSE)</f>
        <v>55</v>
      </c>
      <c r="N95" s="45">
        <f t="shared" si="77"/>
        <v>5.4545454545454543E-2</v>
      </c>
      <c r="O95" s="11">
        <f t="shared" si="78"/>
        <v>15</v>
      </c>
      <c r="P95" s="32">
        <f t="shared" si="79"/>
        <v>660</v>
      </c>
      <c r="Q95" s="11">
        <f t="shared" si="80"/>
        <v>2</v>
      </c>
      <c r="R95" s="32">
        <f t="shared" si="81"/>
        <v>1320</v>
      </c>
      <c r="S95" s="32">
        <f t="shared" si="82"/>
        <v>30</v>
      </c>
      <c r="T95" s="32">
        <f t="shared" si="83"/>
        <v>110</v>
      </c>
      <c r="U95" s="59" t="str">
        <f t="shared" si="94"/>
        <v/>
      </c>
      <c r="V95" s="59" t="str">
        <f t="shared" si="94"/>
        <v/>
      </c>
      <c r="W95" s="59" t="str">
        <f t="shared" si="94"/>
        <v/>
      </c>
      <c r="X95" s="59" t="str">
        <f t="shared" si="94"/>
        <v/>
      </c>
      <c r="Y95" s="59" t="str">
        <f t="shared" si="94"/>
        <v/>
      </c>
      <c r="Z95" s="59" t="str">
        <f t="shared" si="94"/>
        <v/>
      </c>
      <c r="AA95" s="59" t="str">
        <f t="shared" si="94"/>
        <v/>
      </c>
      <c r="AB95" s="59" t="str">
        <f t="shared" si="94"/>
        <v/>
      </c>
      <c r="AC95" s="59" t="str">
        <f t="shared" si="94"/>
        <v/>
      </c>
      <c r="AD95" s="59" t="str">
        <f t="shared" si="94"/>
        <v/>
      </c>
      <c r="AE95" s="59" t="str">
        <f t="shared" si="95"/>
        <v/>
      </c>
      <c r="AF95" s="59" t="str">
        <f t="shared" si="95"/>
        <v/>
      </c>
      <c r="AG95" s="59" t="str">
        <f t="shared" si="95"/>
        <v/>
      </c>
      <c r="AH95" s="67" t="str">
        <f t="shared" si="95"/>
        <v/>
      </c>
      <c r="AI95" s="67" t="str">
        <f t="shared" si="95"/>
        <v/>
      </c>
      <c r="AJ95" s="67" t="str">
        <f t="shared" si="95"/>
        <v/>
      </c>
      <c r="AK95" s="67" t="str">
        <f t="shared" si="95"/>
        <v/>
      </c>
      <c r="AL95" s="67" t="str">
        <f t="shared" si="95"/>
        <v/>
      </c>
      <c r="AM95" s="67" t="str">
        <f t="shared" si="95"/>
        <v/>
      </c>
      <c r="AN95" s="67" t="str">
        <f t="shared" si="95"/>
        <v/>
      </c>
      <c r="AO95" s="67" t="str">
        <f t="shared" si="95"/>
        <v/>
      </c>
      <c r="AP95" s="67" t="str">
        <f t="shared" si="95"/>
        <v/>
      </c>
      <c r="AQ95" s="67" t="str">
        <f t="shared" si="97"/>
        <v/>
      </c>
      <c r="AR95" s="67" t="str">
        <f t="shared" si="97"/>
        <v/>
      </c>
      <c r="AS95" s="67" t="str">
        <f t="shared" si="96"/>
        <v/>
      </c>
      <c r="AT95" s="67" t="str">
        <f t="shared" si="96"/>
        <v/>
      </c>
      <c r="AU95" s="68" t="str">
        <f t="shared" si="96"/>
        <v/>
      </c>
      <c r="AV95" s="68" t="str">
        <f t="shared" si="96"/>
        <v/>
      </c>
      <c r="AW95" s="68" t="str">
        <f t="shared" si="93"/>
        <v/>
      </c>
      <c r="AX95" s="68" t="str">
        <f t="shared" si="93"/>
        <v>X</v>
      </c>
      <c r="AY95" s="68" t="str">
        <f t="shared" si="92"/>
        <v/>
      </c>
      <c r="AZ95" s="68" t="str">
        <f t="shared" si="88"/>
        <v/>
      </c>
      <c r="BA95" s="68" t="str">
        <f t="shared" si="88"/>
        <v/>
      </c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  <c r="LI95" s="60"/>
      <c r="LJ95" s="60"/>
      <c r="LK95" s="60"/>
      <c r="LL95" s="60"/>
      <c r="LM95" s="60"/>
      <c r="LN95" s="60"/>
      <c r="LO95" s="60"/>
      <c r="LP95" s="60"/>
      <c r="LQ95" s="60"/>
      <c r="LR95" s="60"/>
      <c r="LS95" s="60"/>
      <c r="LT95" s="60"/>
      <c r="LU95" s="60"/>
      <c r="LV95" s="60"/>
      <c r="LW95" s="60"/>
      <c r="LX95" s="60"/>
      <c r="LY95" s="60"/>
      <c r="LZ95" s="60"/>
      <c r="MA95" s="60"/>
      <c r="MB95" s="60"/>
      <c r="MC95" s="60"/>
      <c r="MD95" s="60"/>
      <c r="ME95" s="60"/>
      <c r="MF95" s="60"/>
      <c r="MG95" s="60"/>
      <c r="MH95" s="60"/>
      <c r="MI95" s="60"/>
      <c r="MJ95" s="60"/>
      <c r="MK95" s="60"/>
      <c r="ML95" s="60"/>
      <c r="MM95" s="60"/>
      <c r="MN95" s="60"/>
      <c r="MO95" s="60"/>
      <c r="MP95" s="60"/>
      <c r="MQ95" s="60"/>
      <c r="MR95" s="60"/>
      <c r="MS95" s="60"/>
      <c r="MT95" s="60"/>
      <c r="MU95" s="60"/>
      <c r="MV95" s="60"/>
      <c r="MW95" s="60"/>
      <c r="MX95" s="60"/>
      <c r="MY95" s="60"/>
      <c r="MZ95" s="60"/>
      <c r="NA95" s="60"/>
      <c r="NB95" s="60"/>
      <c r="NC95" s="60"/>
      <c r="ND95" s="60"/>
      <c r="NE95" s="60"/>
      <c r="NF95" s="60"/>
      <c r="NG95" s="60"/>
      <c r="NH95" s="60"/>
      <c r="NI95" s="60"/>
      <c r="NJ95" s="60"/>
      <c r="NK95" s="60"/>
      <c r="NL95" s="60"/>
      <c r="NM95" s="60"/>
      <c r="NN95" s="60"/>
      <c r="NO95" s="60"/>
      <c r="NP95" s="60"/>
      <c r="NQ95" s="60"/>
      <c r="NR95" s="60"/>
      <c r="NS95" s="60"/>
      <c r="NT95" s="60"/>
      <c r="NU95" s="60"/>
      <c r="NV95" s="60"/>
      <c r="NW95" s="60"/>
      <c r="NX95" s="60"/>
      <c r="NY95" s="60"/>
      <c r="NZ95" s="60"/>
      <c r="OA95" s="60"/>
      <c r="OB95" s="60"/>
      <c r="OC95" s="60"/>
      <c r="OD95" s="60"/>
      <c r="OE95" s="60"/>
      <c r="OF95" s="60"/>
      <c r="OG95" s="60"/>
      <c r="OH95" s="60"/>
      <c r="OI95" s="60"/>
      <c r="OJ95" s="60"/>
      <c r="OK95" s="60"/>
      <c r="OL95" s="60"/>
      <c r="OM95" s="60"/>
      <c r="ON95" s="60"/>
      <c r="OO95" s="60"/>
      <c r="OP95" s="60"/>
      <c r="OQ95" s="60"/>
      <c r="OR95" s="60"/>
      <c r="OS95" s="60"/>
      <c r="OT95" s="60"/>
      <c r="OU95" s="60"/>
      <c r="OV95" s="60"/>
      <c r="OW95" s="60"/>
      <c r="OX95" s="60"/>
      <c r="OY95" s="60"/>
      <c r="OZ95" s="60"/>
      <c r="PA95" s="60"/>
      <c r="PB95" s="60"/>
      <c r="PC95" s="60"/>
      <c r="PD95" s="60"/>
      <c r="PE95" s="60"/>
      <c r="PF95" s="60"/>
      <c r="PG95" s="60"/>
      <c r="PH95" s="60"/>
      <c r="PI95" s="60"/>
      <c r="PJ95" s="60"/>
      <c r="PK95" s="60"/>
      <c r="PL95" s="60"/>
      <c r="PM95" s="60"/>
      <c r="PN95" s="60"/>
      <c r="PO95" s="60"/>
      <c r="PP95" s="60"/>
      <c r="PQ95" s="60"/>
      <c r="PR95" s="60"/>
      <c r="PS95" s="60"/>
      <c r="PT95" s="60"/>
      <c r="PU95" s="60"/>
      <c r="PV95" s="60"/>
      <c r="PW95" s="60"/>
      <c r="PX95" s="60"/>
      <c r="PY95" s="60"/>
      <c r="PZ95" s="60"/>
      <c r="QA95" s="60"/>
      <c r="QB95" s="60"/>
      <c r="QC95" s="60"/>
      <c r="QD95" s="60"/>
      <c r="QE95" s="60"/>
      <c r="QF95" s="60"/>
      <c r="QG95" s="60"/>
      <c r="QH95" s="60"/>
      <c r="QI95" s="60"/>
      <c r="QJ95" s="60"/>
      <c r="QK95" s="60"/>
      <c r="QL95" s="60"/>
      <c r="QM95" s="60"/>
      <c r="QN95" s="60"/>
      <c r="QO95" s="60"/>
      <c r="QP95" s="60"/>
      <c r="QQ95" s="60"/>
      <c r="QR95" s="60"/>
      <c r="QS95" s="60"/>
      <c r="QT95" s="60"/>
      <c r="QU95" s="60"/>
      <c r="QV95" s="60"/>
      <c r="QW95" s="60"/>
      <c r="QX95" s="60"/>
      <c r="QY95" s="60"/>
      <c r="QZ95" s="60"/>
      <c r="RA95" s="60"/>
      <c r="RB95" s="60"/>
      <c r="RC95" s="60"/>
      <c r="RD95" s="60"/>
      <c r="RE95" s="60"/>
      <c r="RF95" s="60"/>
      <c r="RG95" s="60"/>
      <c r="RH95" s="60"/>
      <c r="RI95" s="60"/>
      <c r="RJ95" s="60"/>
      <c r="RK95" s="60"/>
      <c r="RL95" s="60"/>
      <c r="RM95" s="60"/>
      <c r="RN95" s="60"/>
      <c r="RO95" s="60"/>
      <c r="RP95" s="60"/>
      <c r="RQ95" s="60"/>
      <c r="RR95" s="60"/>
      <c r="RS95" s="60"/>
      <c r="RT95" s="60"/>
      <c r="RU95" s="60"/>
      <c r="RV95" s="60"/>
      <c r="RW95" s="60"/>
      <c r="RX95" s="60"/>
      <c r="RY95" s="60"/>
      <c r="RZ95" s="60"/>
      <c r="SA95" s="60"/>
      <c r="SB95" s="60"/>
      <c r="SC95" s="60"/>
      <c r="SD95" s="60"/>
      <c r="SE95" s="60"/>
      <c r="SF95" s="60"/>
      <c r="SG95" s="60"/>
      <c r="SH95" s="60"/>
      <c r="SI95" s="60"/>
      <c r="SJ95" s="60"/>
      <c r="SK95" s="60"/>
      <c r="SL95" s="60"/>
      <c r="SM95" s="60"/>
      <c r="SN95" s="60"/>
      <c r="SO95" s="60"/>
      <c r="SP95" s="60"/>
      <c r="SQ95" s="60"/>
      <c r="SR95" s="60"/>
      <c r="SS95" s="60"/>
      <c r="ST95" s="60"/>
      <c r="SU95" s="60"/>
      <c r="SV95" s="60"/>
      <c r="SW95" s="60"/>
      <c r="SX95" s="60"/>
      <c r="SY95" s="60"/>
      <c r="SZ95" s="60"/>
      <c r="TA95" s="60"/>
      <c r="TB95" s="60"/>
      <c r="TC95" s="60"/>
      <c r="TD95" s="60"/>
      <c r="TE95" s="60"/>
      <c r="TF95" s="60"/>
      <c r="TG95" s="60"/>
      <c r="TH95" s="60"/>
      <c r="TI95" s="60"/>
      <c r="TJ95" s="60"/>
      <c r="TK95" s="60"/>
      <c r="TL95" s="60"/>
      <c r="TM95" s="60"/>
      <c r="TN95" s="60"/>
      <c r="TO95" s="60"/>
      <c r="TP95" s="60"/>
      <c r="TQ95" s="60"/>
      <c r="TR95" s="60"/>
      <c r="TS95" s="60"/>
      <c r="TT95" s="60"/>
      <c r="TU95" s="60"/>
      <c r="TV95" s="60"/>
      <c r="TW95" s="60"/>
      <c r="TX95" s="60"/>
      <c r="TY95" s="60"/>
      <c r="TZ95" s="60"/>
      <c r="UA95" s="60"/>
      <c r="UB95" s="60"/>
      <c r="UC95" s="60"/>
      <c r="UD95" s="60"/>
      <c r="UE95" s="60"/>
      <c r="UF95" s="60"/>
      <c r="UG95" s="60"/>
      <c r="UH95" s="60"/>
      <c r="UI95" s="60"/>
      <c r="UJ95" s="60"/>
      <c r="UK95" s="60"/>
      <c r="UL95" s="60"/>
      <c r="UM95" s="60"/>
      <c r="UN95" s="60"/>
      <c r="UO95" s="60"/>
      <c r="UP95" s="60"/>
      <c r="UQ95" s="60"/>
      <c r="UR95" s="60"/>
      <c r="US95" s="60"/>
      <c r="UT95" s="60"/>
      <c r="UU95" s="60"/>
      <c r="UV95" s="60"/>
      <c r="UW95" s="60"/>
      <c r="UX95" s="60"/>
      <c r="UY95" s="60"/>
      <c r="UZ95" s="60"/>
      <c r="VA95" s="60"/>
      <c r="VB95" s="60"/>
      <c r="VC95" s="60"/>
      <c r="VD95" s="60"/>
      <c r="VE95" s="60"/>
      <c r="VF95" s="60"/>
      <c r="VG95" s="60"/>
      <c r="VH95" s="60"/>
      <c r="VI95" s="60"/>
      <c r="VJ95" s="60"/>
      <c r="VK95" s="60"/>
      <c r="VL95" s="60"/>
      <c r="VM95" s="60"/>
      <c r="VN95" s="60"/>
      <c r="VO95" s="60"/>
      <c r="VP95" s="60"/>
      <c r="VQ95" s="60"/>
      <c r="VR95" s="60"/>
      <c r="VS95" s="60"/>
      <c r="VT95" s="60"/>
      <c r="VU95" s="60"/>
      <c r="VV95" s="60"/>
      <c r="VW95" s="60"/>
      <c r="VX95" s="60"/>
      <c r="VY95" s="60"/>
      <c r="VZ95" s="60"/>
      <c r="WA95" s="60"/>
      <c r="WB95" s="60"/>
      <c r="WC95" s="60"/>
      <c r="WD95" s="60"/>
      <c r="WE95" s="60"/>
      <c r="WF95" s="60"/>
      <c r="WG95" s="60"/>
      <c r="WH95" s="60"/>
      <c r="WI95" s="60"/>
      <c r="WJ95" s="60"/>
      <c r="WK95" s="60"/>
      <c r="WL95" s="60"/>
      <c r="WM95" s="60"/>
      <c r="WN95" s="60"/>
      <c r="WO95" s="60"/>
      <c r="WP95" s="60"/>
      <c r="WQ95" s="60"/>
      <c r="WR95" s="60"/>
      <c r="WS95" s="60"/>
      <c r="WT95" s="60"/>
      <c r="WU95" s="60"/>
      <c r="WV95" s="60"/>
      <c r="WW95" s="60"/>
      <c r="WX95" s="60"/>
      <c r="WY95" s="60"/>
      <c r="WZ95" s="60"/>
      <c r="XA95" s="60"/>
      <c r="XB95" s="60"/>
      <c r="XC95" s="60"/>
      <c r="XD95" s="60"/>
      <c r="XE95" s="60"/>
      <c r="XF95" s="60"/>
      <c r="XG95" s="60"/>
      <c r="XH95" s="60"/>
      <c r="XI95" s="60"/>
      <c r="XJ95" s="60"/>
      <c r="XK95" s="60"/>
      <c r="XL95" s="60"/>
      <c r="XM95" s="60"/>
      <c r="XN95" s="60"/>
      <c r="XO95" s="60"/>
      <c r="XP95" s="60"/>
      <c r="XQ95" s="60"/>
      <c r="XR95" s="60"/>
      <c r="XS95" s="60"/>
      <c r="XT95" s="60"/>
      <c r="XU95" s="60"/>
      <c r="XV95" s="60"/>
      <c r="XW95" s="60"/>
      <c r="XX95" s="60"/>
      <c r="XY95" s="60"/>
      <c r="XZ95" s="60"/>
      <c r="YA95" s="60"/>
      <c r="YB95" s="60"/>
      <c r="YC95" s="60"/>
      <c r="YD95" s="60"/>
      <c r="YE95" s="60"/>
      <c r="YF95" s="60"/>
      <c r="YG95" s="60"/>
      <c r="YH95" s="60"/>
      <c r="YI95" s="60"/>
      <c r="YJ95" s="60"/>
      <c r="YK95" s="60"/>
      <c r="YL95" s="60"/>
      <c r="YM95" s="60"/>
      <c r="YN95" s="60"/>
      <c r="YO95" s="60"/>
      <c r="YP95" s="60"/>
      <c r="YQ95" s="60"/>
      <c r="YR95" s="60"/>
      <c r="YS95" s="60"/>
      <c r="YT95" s="60"/>
      <c r="YU95" s="60"/>
      <c r="YV95" s="60"/>
      <c r="YW95" s="60"/>
      <c r="YX95" s="60"/>
      <c r="YY95" s="60"/>
      <c r="YZ95" s="60"/>
      <c r="ZA95" s="60"/>
      <c r="ZB95" s="60"/>
      <c r="ZC95" s="60"/>
      <c r="ZD95" s="60"/>
      <c r="ZE95" s="60"/>
      <c r="ZF95" s="60"/>
      <c r="ZG95" s="60"/>
      <c r="ZH95" s="60"/>
      <c r="ZI95" s="60"/>
      <c r="ZJ95" s="60"/>
      <c r="ZK95" s="60"/>
      <c r="ZL95" s="60"/>
      <c r="ZM95" s="60"/>
      <c r="ZN95" s="60"/>
      <c r="ZO95" s="60"/>
      <c r="ZP95" s="60"/>
      <c r="ZQ95" s="60"/>
      <c r="ZR95" s="60"/>
      <c r="ZS95" s="60"/>
      <c r="ZT95" s="60"/>
      <c r="ZU95" s="60"/>
      <c r="ZV95" s="60"/>
      <c r="ZW95" s="60"/>
      <c r="ZX95" s="60"/>
      <c r="ZY95" s="60"/>
      <c r="ZZ95" s="60"/>
      <c r="AAA95" s="60"/>
      <c r="AAB95" s="60"/>
      <c r="AAC95" s="60"/>
      <c r="AAD95" s="60"/>
      <c r="AAE95" s="60"/>
      <c r="AAF95" s="60"/>
      <c r="AAG95" s="60"/>
      <c r="AAH95" s="60"/>
      <c r="AAI95" s="60"/>
      <c r="AAJ95" s="60"/>
      <c r="AAK95" s="60"/>
      <c r="AAL95" s="60"/>
      <c r="AAM95" s="60"/>
      <c r="AAN95" s="60"/>
      <c r="AAO95" s="60"/>
      <c r="AAP95" s="60"/>
      <c r="AAQ95" s="60"/>
      <c r="AAR95" s="60"/>
      <c r="AAS95" s="60"/>
      <c r="AAT95" s="60"/>
      <c r="AAU95" s="60"/>
      <c r="AAV95" s="60"/>
    </row>
    <row r="96" spans="1:724" ht="21" customHeight="1">
      <c r="A96" s="44">
        <v>3</v>
      </c>
      <c r="B96" s="58">
        <v>5304420</v>
      </c>
      <c r="C96" s="27" t="s">
        <v>43</v>
      </c>
      <c r="D96" s="78" t="s">
        <v>118</v>
      </c>
      <c r="E96" s="62">
        <v>2</v>
      </c>
      <c r="F96" s="30">
        <f>VLOOKUP(B96,'Estampados por manguera'!A$2:B$500,2,FALSE)</f>
        <v>1</v>
      </c>
      <c r="G96" s="30">
        <f t="shared" si="73"/>
        <v>2</v>
      </c>
      <c r="H96" s="32">
        <v>6</v>
      </c>
      <c r="I96" s="30">
        <f t="shared" si="74"/>
        <v>12</v>
      </c>
      <c r="J96" s="32">
        <f t="shared" si="75"/>
        <v>180</v>
      </c>
      <c r="K96" s="30">
        <f t="shared" si="76"/>
        <v>192</v>
      </c>
      <c r="L96" s="32">
        <v>1200</v>
      </c>
      <c r="M96" s="30">
        <f>VLOOKUP(B96,'Mangueras por contenedor'!A$2:B$500,2,FALSE)</f>
        <v>20</v>
      </c>
      <c r="N96" s="45">
        <f t="shared" si="77"/>
        <v>0.1</v>
      </c>
      <c r="O96" s="11">
        <f t="shared" si="78"/>
        <v>8</v>
      </c>
      <c r="P96" s="32">
        <f t="shared" si="79"/>
        <v>120</v>
      </c>
      <c r="Q96" s="11">
        <v>2</v>
      </c>
      <c r="R96" s="32">
        <f t="shared" si="81"/>
        <v>240</v>
      </c>
      <c r="S96" s="32">
        <f t="shared" si="82"/>
        <v>16</v>
      </c>
      <c r="T96" s="32">
        <f t="shared" si="83"/>
        <v>40</v>
      </c>
      <c r="U96" s="59" t="str">
        <f t="shared" ref="U96:AD107" si="98">IF(OR(U$79/$S96=1,U$79/$S96=2,U$79/$S96=3,U$79/$S96=4,U$79/$S96=5,U$79/$S96=6,U$79/$S96=7,U$79/$S96=8,U$79/$S96=9,U$79/$S96=10,U$79/$S96=11,U$79/$S96=12,U$79/$S96=13,U$79/$S96=14,U$79/$S96=15,U$79/$S96=16,U$79/$S96=17,U$79/$S96=18,U$79/$S96=19,U$79/$S96=20,U$79/$S96=21,U$79/$S96=22,U$79/$S96=23,U$79/$S96=24,U$79/$S96=25,U$79/$S96=26,U$79/$S96=27,U$79/$S96=28,U$79/$S96=29,U$79/$S96=30,U$79/$S96=31,U$79/$S96=32,U$79/$S96=33),"X","")</f>
        <v/>
      </c>
      <c r="V96" s="59" t="str">
        <f t="shared" si="98"/>
        <v/>
      </c>
      <c r="W96" s="59" t="str">
        <f t="shared" si="98"/>
        <v/>
      </c>
      <c r="X96" s="59" t="str">
        <f t="shared" si="98"/>
        <v/>
      </c>
      <c r="Y96" s="59" t="str">
        <f t="shared" si="98"/>
        <v/>
      </c>
      <c r="Z96" s="59" t="str">
        <f t="shared" si="98"/>
        <v/>
      </c>
      <c r="AA96" s="59" t="str">
        <f t="shared" si="98"/>
        <v/>
      </c>
      <c r="AB96" s="59" t="str">
        <f t="shared" si="98"/>
        <v/>
      </c>
      <c r="AC96" s="59" t="str">
        <f t="shared" si="98"/>
        <v/>
      </c>
      <c r="AD96" s="59" t="str">
        <f t="shared" si="98"/>
        <v/>
      </c>
      <c r="AE96" s="59" t="str">
        <f t="shared" ref="AE96:AP107" si="99">IF(OR(AE$79/$S96=1,AE$79/$S96=2,AE$79/$S96=3,AE$79/$S96=4,AE$79/$S96=5,AE$79/$S96=6,AE$79/$S96=7,AE$79/$S96=8,AE$79/$S96=9,AE$79/$S96=10,AE$79/$S96=11,AE$79/$S96=12,AE$79/$S96=13,AE$79/$S96=14,AE$79/$S96=15,AE$79/$S96=16,AE$79/$S96=17,AE$79/$S96=18,AE$79/$S96=19,AE$79/$S96=20,AE$79/$S96=21,AE$79/$S96=22,AE$79/$S96=23,AE$79/$S96=24,AE$79/$S96=25,AE$79/$S96=26,AE$79/$S96=27,AE$79/$S96=28,AE$79/$S96=29,AE$79/$S96=30,AE$79/$S96=31,AE$79/$S96=32,AE$79/$S96=33),"X","")</f>
        <v/>
      </c>
      <c r="AF96" s="59" t="str">
        <f t="shared" si="99"/>
        <v/>
      </c>
      <c r="AG96" s="59" t="str">
        <f t="shared" si="99"/>
        <v/>
      </c>
      <c r="AH96" s="67" t="str">
        <f t="shared" si="99"/>
        <v/>
      </c>
      <c r="AI96" s="67" t="str">
        <f t="shared" si="99"/>
        <v/>
      </c>
      <c r="AJ96" s="67" t="str">
        <f t="shared" si="99"/>
        <v>X</v>
      </c>
      <c r="AK96" s="67" t="str">
        <f t="shared" si="99"/>
        <v/>
      </c>
      <c r="AL96" s="67" t="str">
        <f t="shared" si="99"/>
        <v/>
      </c>
      <c r="AM96" s="67" t="str">
        <f t="shared" si="99"/>
        <v/>
      </c>
      <c r="AN96" s="67" t="str">
        <f t="shared" si="99"/>
        <v/>
      </c>
      <c r="AO96" s="67" t="str">
        <f t="shared" si="99"/>
        <v/>
      </c>
      <c r="AP96" s="67" t="str">
        <f t="shared" si="99"/>
        <v/>
      </c>
      <c r="AQ96" s="67" t="str">
        <f t="shared" si="97"/>
        <v/>
      </c>
      <c r="AR96" s="67" t="str">
        <f t="shared" si="97"/>
        <v/>
      </c>
      <c r="AS96" s="67" t="str">
        <f t="shared" si="96"/>
        <v/>
      </c>
      <c r="AT96" s="67" t="str">
        <f t="shared" si="96"/>
        <v/>
      </c>
      <c r="AU96" s="68" t="str">
        <f t="shared" si="96"/>
        <v/>
      </c>
      <c r="AV96" s="68" t="str">
        <f t="shared" si="96"/>
        <v/>
      </c>
      <c r="AW96" s="68" t="str">
        <f t="shared" si="93"/>
        <v/>
      </c>
      <c r="AX96" s="68" t="str">
        <f t="shared" si="93"/>
        <v/>
      </c>
      <c r="AY96" s="68" t="str">
        <f t="shared" si="92"/>
        <v/>
      </c>
      <c r="AZ96" s="68" t="str">
        <f t="shared" si="88"/>
        <v>X</v>
      </c>
      <c r="BA96" s="68" t="str">
        <f t="shared" si="88"/>
        <v/>
      </c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  <c r="DW96" s="46"/>
      <c r="DX96" s="46"/>
      <c r="DY96" s="46"/>
      <c r="DZ96" s="46"/>
      <c r="EA96" s="46"/>
      <c r="EB96" s="46"/>
      <c r="EC96" s="46"/>
      <c r="ED96" s="46"/>
      <c r="EE96" s="46"/>
      <c r="EF96" s="46"/>
      <c r="EG96" s="46"/>
      <c r="EH96" s="46"/>
      <c r="EI96" s="46"/>
      <c r="EJ96" s="46"/>
      <c r="EK96" s="46"/>
      <c r="EL96" s="46"/>
      <c r="EM96" s="46"/>
      <c r="EN96" s="46"/>
      <c r="EO96" s="46"/>
      <c r="EP96" s="46"/>
      <c r="EQ96" s="46"/>
      <c r="ER96" s="46"/>
      <c r="ES96" s="46"/>
      <c r="ET96" s="46"/>
      <c r="EU96" s="46"/>
      <c r="EV96" s="46"/>
      <c r="EW96" s="46"/>
      <c r="EX96" s="46"/>
      <c r="EY96" s="46"/>
      <c r="EZ96" s="46"/>
      <c r="FA96" s="46"/>
      <c r="FB96" s="46"/>
      <c r="FC96" s="46"/>
      <c r="FD96" s="46"/>
      <c r="FE96" s="46"/>
      <c r="FF96" s="46"/>
      <c r="FG96" s="46"/>
      <c r="FH96" s="46"/>
      <c r="FI96" s="46"/>
      <c r="FJ96" s="46"/>
      <c r="FK96" s="46"/>
      <c r="FL96" s="46"/>
      <c r="FM96" s="46"/>
      <c r="FN96" s="46"/>
      <c r="FO96" s="46"/>
      <c r="FP96" s="46"/>
      <c r="FQ96" s="46"/>
      <c r="FR96" s="46"/>
      <c r="FS96" s="46"/>
      <c r="FT96" s="46"/>
      <c r="FU96" s="46"/>
      <c r="FV96" s="46"/>
      <c r="FW96" s="46"/>
      <c r="FX96" s="46"/>
      <c r="FY96" s="46"/>
      <c r="FZ96" s="46"/>
      <c r="GA96" s="46"/>
      <c r="GB96" s="46"/>
      <c r="GC96" s="46"/>
      <c r="GD96" s="46"/>
      <c r="GE96" s="46"/>
      <c r="GF96" s="46"/>
      <c r="GG96" s="46"/>
      <c r="GH96" s="46"/>
      <c r="GI96" s="46"/>
      <c r="GJ96" s="46"/>
      <c r="GK96" s="46"/>
      <c r="GL96" s="46"/>
      <c r="GM96" s="46"/>
      <c r="GN96" s="46"/>
      <c r="GO96" s="46"/>
      <c r="GP96" s="46"/>
      <c r="GQ96" s="46"/>
      <c r="GR96" s="46"/>
      <c r="GS96" s="46"/>
      <c r="GT96" s="46"/>
      <c r="GU96" s="46"/>
      <c r="GV96" s="46"/>
      <c r="GW96" s="46"/>
      <c r="GX96" s="46"/>
      <c r="GY96" s="46"/>
      <c r="GZ96" s="46"/>
      <c r="HA96" s="46"/>
      <c r="HB96" s="46"/>
      <c r="HC96" s="46"/>
      <c r="HD96" s="46"/>
      <c r="HE96" s="46"/>
      <c r="HF96" s="46"/>
      <c r="HG96" s="46"/>
      <c r="HH96" s="46"/>
      <c r="HI96" s="46"/>
      <c r="HJ96" s="46"/>
      <c r="HK96" s="46"/>
      <c r="HL96" s="46"/>
      <c r="HM96" s="46"/>
      <c r="HN96" s="46"/>
      <c r="HO96" s="46"/>
      <c r="HP96" s="46"/>
      <c r="HQ96" s="46"/>
      <c r="HR96" s="46"/>
      <c r="HS96" s="46"/>
      <c r="HT96" s="46"/>
      <c r="HU96" s="46"/>
      <c r="HV96" s="46"/>
      <c r="HW96" s="46"/>
      <c r="HX96" s="46"/>
      <c r="HY96" s="46"/>
      <c r="HZ96" s="46"/>
      <c r="IA96" s="46"/>
      <c r="IB96" s="46"/>
      <c r="IC96" s="46"/>
      <c r="ID96" s="46"/>
      <c r="IE96" s="46"/>
      <c r="IF96" s="46"/>
      <c r="IG96" s="46"/>
      <c r="IH96" s="46"/>
      <c r="II96" s="46"/>
      <c r="IJ96" s="46"/>
      <c r="IK96" s="46"/>
      <c r="IL96" s="46"/>
      <c r="IM96" s="46"/>
      <c r="IN96" s="46"/>
      <c r="IO96" s="46"/>
      <c r="IP96" s="46"/>
      <c r="IQ96" s="46"/>
      <c r="IR96" s="46"/>
      <c r="IS96" s="46"/>
      <c r="IT96" s="46"/>
      <c r="IU96" s="46"/>
      <c r="IV96" s="46"/>
      <c r="IW96" s="46"/>
      <c r="IX96" s="46"/>
      <c r="IY96" s="46"/>
      <c r="IZ96" s="46"/>
      <c r="JA96" s="46"/>
      <c r="JB96" s="46"/>
      <c r="JC96" s="46"/>
      <c r="JD96" s="46"/>
      <c r="JE96" s="46"/>
      <c r="JF96" s="46"/>
      <c r="JG96" s="46"/>
      <c r="JH96" s="46"/>
      <c r="JI96" s="46"/>
      <c r="JJ96" s="46"/>
      <c r="JK96" s="46"/>
      <c r="JL96" s="46"/>
      <c r="JM96" s="46"/>
      <c r="JN96" s="46"/>
      <c r="JO96" s="46"/>
      <c r="JP96" s="46"/>
      <c r="JQ96" s="46"/>
      <c r="JR96" s="46"/>
      <c r="JS96" s="46"/>
      <c r="JT96" s="46"/>
      <c r="JU96" s="46"/>
      <c r="JV96" s="46"/>
      <c r="JW96" s="46"/>
      <c r="JX96" s="46"/>
      <c r="JY96" s="46"/>
      <c r="JZ96" s="46"/>
      <c r="KA96" s="46"/>
      <c r="KB96" s="46"/>
      <c r="KC96" s="46"/>
      <c r="KD96" s="46"/>
      <c r="KE96" s="46"/>
      <c r="KF96" s="46"/>
      <c r="KG96" s="46"/>
      <c r="KH96" s="46"/>
      <c r="KI96" s="46"/>
      <c r="KJ96" s="46"/>
      <c r="KK96" s="46"/>
      <c r="KL96" s="46"/>
      <c r="KM96" s="46"/>
      <c r="KN96" s="46"/>
      <c r="KO96" s="46"/>
      <c r="KP96" s="46"/>
      <c r="KQ96" s="46"/>
      <c r="KR96" s="46"/>
      <c r="KS96" s="46"/>
      <c r="KT96" s="46"/>
      <c r="KU96" s="46"/>
      <c r="KV96" s="46"/>
      <c r="KW96" s="46"/>
      <c r="KX96" s="46"/>
      <c r="KY96" s="46"/>
      <c r="KZ96" s="46"/>
      <c r="LA96" s="46"/>
      <c r="LB96" s="46"/>
      <c r="LC96" s="46"/>
      <c r="LD96" s="46"/>
      <c r="LE96" s="46"/>
      <c r="LF96" s="46"/>
      <c r="LG96" s="46"/>
      <c r="LH96" s="46"/>
      <c r="LI96" s="46"/>
      <c r="LJ96" s="46"/>
      <c r="LK96" s="46"/>
      <c r="LL96" s="46"/>
      <c r="LM96" s="46"/>
      <c r="LN96" s="46"/>
      <c r="LO96" s="46"/>
      <c r="LP96" s="46"/>
      <c r="LQ96" s="46"/>
      <c r="LR96" s="46"/>
      <c r="LS96" s="46"/>
      <c r="LT96" s="46"/>
      <c r="LU96" s="46"/>
      <c r="LV96" s="46"/>
      <c r="LW96" s="46"/>
      <c r="LX96" s="46"/>
      <c r="LY96" s="46"/>
      <c r="LZ96" s="46"/>
      <c r="MA96" s="46"/>
      <c r="MB96" s="46"/>
      <c r="MC96" s="46"/>
      <c r="MD96" s="46"/>
      <c r="ME96" s="46"/>
      <c r="MF96" s="46"/>
      <c r="MG96" s="46"/>
      <c r="MH96" s="46"/>
      <c r="MI96" s="46"/>
      <c r="MJ96" s="46"/>
      <c r="MK96" s="46"/>
      <c r="ML96" s="46"/>
      <c r="MM96" s="46"/>
      <c r="MN96" s="46"/>
      <c r="MO96" s="46"/>
      <c r="MP96" s="46"/>
      <c r="MQ96" s="46"/>
      <c r="MR96" s="46"/>
      <c r="MS96" s="46"/>
      <c r="MT96" s="46"/>
      <c r="MU96" s="46"/>
      <c r="MV96" s="46"/>
      <c r="MW96" s="46"/>
      <c r="MX96" s="46"/>
      <c r="MY96" s="46"/>
      <c r="MZ96" s="46"/>
      <c r="NA96" s="46"/>
      <c r="NB96" s="46"/>
      <c r="NC96" s="46"/>
      <c r="ND96" s="46"/>
      <c r="NE96" s="46"/>
      <c r="NF96" s="46"/>
      <c r="NG96" s="46"/>
      <c r="NH96" s="46"/>
      <c r="NI96" s="46"/>
      <c r="NJ96" s="46"/>
      <c r="NK96" s="46"/>
      <c r="NL96" s="46"/>
      <c r="NM96" s="46"/>
      <c r="NN96" s="46"/>
      <c r="NO96" s="46"/>
      <c r="NP96" s="46"/>
      <c r="NQ96" s="46"/>
      <c r="NR96" s="46"/>
      <c r="NS96" s="46"/>
      <c r="NT96" s="46"/>
      <c r="NU96" s="46"/>
      <c r="NV96" s="46"/>
      <c r="NW96" s="46"/>
      <c r="NX96" s="46"/>
      <c r="NY96" s="46"/>
      <c r="NZ96" s="46"/>
      <c r="OA96" s="46"/>
      <c r="OB96" s="46"/>
      <c r="OC96" s="46"/>
      <c r="OD96" s="46"/>
      <c r="OE96" s="46"/>
      <c r="OF96" s="46"/>
      <c r="OG96" s="46"/>
      <c r="OH96" s="46"/>
      <c r="OI96" s="46"/>
      <c r="OJ96" s="46"/>
      <c r="OK96" s="46"/>
      <c r="OL96" s="46"/>
      <c r="OM96" s="46"/>
      <c r="ON96" s="46"/>
      <c r="OO96" s="46"/>
      <c r="OP96" s="46"/>
      <c r="OQ96" s="46"/>
      <c r="OR96" s="46"/>
      <c r="OS96" s="46"/>
      <c r="OT96" s="46"/>
      <c r="OU96" s="46"/>
      <c r="OV96" s="46"/>
      <c r="OW96" s="46"/>
      <c r="OX96" s="46"/>
      <c r="OY96" s="46"/>
      <c r="OZ96" s="46"/>
      <c r="PA96" s="46"/>
      <c r="PB96" s="46"/>
      <c r="PC96" s="46"/>
      <c r="PD96" s="46"/>
      <c r="PE96" s="46"/>
      <c r="PF96" s="46"/>
      <c r="PG96" s="46"/>
      <c r="PH96" s="46"/>
      <c r="PI96" s="46"/>
      <c r="PJ96" s="46"/>
      <c r="PK96" s="46"/>
      <c r="PL96" s="46"/>
      <c r="PM96" s="46"/>
      <c r="PN96" s="46"/>
      <c r="PO96" s="46"/>
      <c r="PP96" s="46"/>
      <c r="PQ96" s="46"/>
      <c r="PR96" s="46"/>
      <c r="PS96" s="46"/>
      <c r="PT96" s="46"/>
      <c r="PU96" s="46"/>
      <c r="PV96" s="46"/>
      <c r="PW96" s="46"/>
      <c r="PX96" s="46"/>
      <c r="PY96" s="46"/>
      <c r="PZ96" s="46"/>
      <c r="QA96" s="46"/>
      <c r="QB96" s="46"/>
      <c r="QC96" s="46"/>
      <c r="QD96" s="46"/>
      <c r="QE96" s="46"/>
      <c r="QF96" s="46"/>
      <c r="QG96" s="46"/>
      <c r="QH96" s="46"/>
      <c r="QI96" s="46"/>
      <c r="QJ96" s="46"/>
      <c r="QK96" s="46"/>
      <c r="QL96" s="46"/>
      <c r="QM96" s="46"/>
      <c r="QN96" s="46"/>
      <c r="QO96" s="46"/>
      <c r="QP96" s="46"/>
      <c r="QQ96" s="46"/>
      <c r="QR96" s="46"/>
      <c r="QS96" s="46"/>
      <c r="QT96" s="46"/>
      <c r="QU96" s="46"/>
      <c r="QV96" s="46"/>
      <c r="QW96" s="46"/>
      <c r="QX96" s="46"/>
      <c r="QY96" s="46"/>
      <c r="QZ96" s="46"/>
      <c r="RA96" s="46"/>
      <c r="RB96" s="46"/>
      <c r="RC96" s="46"/>
      <c r="RD96" s="46"/>
      <c r="RE96" s="46"/>
      <c r="RF96" s="46"/>
      <c r="RG96" s="46"/>
      <c r="RH96" s="46"/>
      <c r="RI96" s="46"/>
      <c r="RJ96" s="46"/>
      <c r="RK96" s="46"/>
      <c r="RL96" s="46"/>
      <c r="RM96" s="46"/>
      <c r="RN96" s="46"/>
      <c r="RO96" s="46"/>
      <c r="RP96" s="46"/>
      <c r="RQ96" s="46"/>
      <c r="RR96" s="46"/>
      <c r="RS96" s="46"/>
      <c r="RT96" s="46"/>
      <c r="RU96" s="46"/>
      <c r="RV96" s="46"/>
      <c r="RW96" s="46"/>
      <c r="RX96" s="46"/>
      <c r="RY96" s="46"/>
      <c r="RZ96" s="46"/>
      <c r="SA96" s="46"/>
      <c r="SB96" s="46"/>
      <c r="SC96" s="46"/>
      <c r="SD96" s="46"/>
      <c r="SE96" s="46"/>
      <c r="SF96" s="46"/>
      <c r="SG96" s="46"/>
      <c r="SH96" s="46"/>
      <c r="SI96" s="46"/>
      <c r="SJ96" s="46"/>
      <c r="SK96" s="46"/>
      <c r="SL96" s="46"/>
      <c r="SM96" s="46"/>
      <c r="SN96" s="46"/>
      <c r="SO96" s="46"/>
      <c r="SP96" s="46"/>
      <c r="SQ96" s="46"/>
      <c r="SR96" s="46"/>
      <c r="SS96" s="46"/>
      <c r="ST96" s="46"/>
      <c r="SU96" s="46"/>
      <c r="SV96" s="46"/>
      <c r="SW96" s="46"/>
      <c r="SX96" s="46"/>
      <c r="SY96" s="46"/>
      <c r="SZ96" s="46"/>
      <c r="TA96" s="46"/>
      <c r="TB96" s="46"/>
      <c r="TC96" s="46"/>
      <c r="TD96" s="46"/>
      <c r="TE96" s="46"/>
      <c r="TF96" s="46"/>
      <c r="TG96" s="46"/>
      <c r="TH96" s="46"/>
      <c r="TI96" s="46"/>
      <c r="TJ96" s="46"/>
      <c r="TK96" s="46"/>
      <c r="TL96" s="46"/>
      <c r="TM96" s="46"/>
      <c r="TN96" s="46"/>
      <c r="TO96" s="46"/>
      <c r="TP96" s="46"/>
      <c r="TQ96" s="46"/>
      <c r="TR96" s="46"/>
      <c r="TS96" s="46"/>
      <c r="TT96" s="46"/>
      <c r="TU96" s="46"/>
      <c r="TV96" s="46"/>
      <c r="TW96" s="46"/>
      <c r="TX96" s="46"/>
      <c r="TY96" s="46"/>
      <c r="TZ96" s="46"/>
      <c r="UA96" s="46"/>
      <c r="UB96" s="46"/>
      <c r="UC96" s="46"/>
      <c r="UD96" s="46"/>
      <c r="UE96" s="46"/>
      <c r="UF96" s="46"/>
      <c r="UG96" s="46"/>
      <c r="UH96" s="46"/>
      <c r="UI96" s="46"/>
      <c r="UJ96" s="46"/>
      <c r="UK96" s="46"/>
      <c r="UL96" s="46"/>
      <c r="UM96" s="46"/>
      <c r="UN96" s="46"/>
      <c r="UO96" s="46"/>
      <c r="UP96" s="46"/>
      <c r="UQ96" s="46"/>
      <c r="UR96" s="46"/>
      <c r="US96" s="46"/>
      <c r="UT96" s="46"/>
      <c r="UU96" s="46"/>
      <c r="UV96" s="46"/>
      <c r="UW96" s="46"/>
      <c r="UX96" s="46"/>
      <c r="UY96" s="46"/>
      <c r="UZ96" s="46"/>
      <c r="VA96" s="46"/>
      <c r="VB96" s="46"/>
      <c r="VC96" s="46"/>
      <c r="VD96" s="46"/>
      <c r="VE96" s="46"/>
      <c r="VF96" s="46"/>
      <c r="VG96" s="46"/>
      <c r="VH96" s="46"/>
      <c r="VI96" s="46"/>
      <c r="VJ96" s="46"/>
      <c r="VK96" s="46"/>
      <c r="VL96" s="46"/>
      <c r="VM96" s="46"/>
      <c r="VN96" s="46"/>
      <c r="VO96" s="46"/>
      <c r="VP96" s="46"/>
      <c r="VQ96" s="46"/>
      <c r="VR96" s="46"/>
      <c r="VS96" s="46"/>
      <c r="VT96" s="46"/>
      <c r="VU96" s="46"/>
      <c r="VV96" s="46"/>
      <c r="VW96" s="46"/>
      <c r="VX96" s="46"/>
      <c r="VY96" s="46"/>
      <c r="VZ96" s="46"/>
      <c r="WA96" s="46"/>
      <c r="WB96" s="46"/>
      <c r="WC96" s="46"/>
      <c r="WD96" s="46"/>
      <c r="WE96" s="46"/>
      <c r="WF96" s="46"/>
      <c r="WG96" s="46"/>
      <c r="WH96" s="46"/>
      <c r="WI96" s="46"/>
      <c r="WJ96" s="46"/>
      <c r="WK96" s="46"/>
      <c r="WL96" s="46"/>
      <c r="WM96" s="46"/>
      <c r="WN96" s="46"/>
      <c r="WO96" s="46"/>
      <c r="WP96" s="46"/>
      <c r="WQ96" s="46"/>
      <c r="WR96" s="46"/>
      <c r="WS96" s="46"/>
      <c r="WT96" s="46"/>
      <c r="WU96" s="46"/>
      <c r="WV96" s="46"/>
      <c r="WW96" s="46"/>
      <c r="WX96" s="46"/>
      <c r="WY96" s="46"/>
      <c r="WZ96" s="46"/>
      <c r="XA96" s="46"/>
      <c r="XB96" s="46"/>
      <c r="XC96" s="46"/>
      <c r="XD96" s="46"/>
      <c r="XE96" s="46"/>
      <c r="XF96" s="46"/>
      <c r="XG96" s="46"/>
      <c r="XH96" s="46"/>
      <c r="XI96" s="46"/>
      <c r="XJ96" s="46"/>
      <c r="XK96" s="46"/>
      <c r="XL96" s="46"/>
      <c r="XM96" s="46"/>
      <c r="XN96" s="46"/>
      <c r="XO96" s="46"/>
      <c r="XP96" s="46"/>
      <c r="XQ96" s="46"/>
      <c r="XR96" s="46"/>
      <c r="XS96" s="46"/>
      <c r="XT96" s="46"/>
      <c r="XU96" s="46"/>
      <c r="XV96" s="46"/>
      <c r="XW96" s="46"/>
      <c r="XX96" s="46"/>
      <c r="XY96" s="46"/>
      <c r="XZ96" s="46"/>
      <c r="YA96" s="46"/>
      <c r="YB96" s="46"/>
      <c r="YC96" s="46"/>
      <c r="YD96" s="46"/>
      <c r="YE96" s="46"/>
      <c r="YF96" s="46"/>
      <c r="YG96" s="46"/>
      <c r="YH96" s="46"/>
      <c r="YI96" s="46"/>
      <c r="YJ96" s="46"/>
      <c r="YK96" s="46"/>
      <c r="YL96" s="46"/>
      <c r="YM96" s="46"/>
      <c r="YN96" s="46"/>
      <c r="YO96" s="46"/>
      <c r="YP96" s="46"/>
      <c r="YQ96" s="46"/>
      <c r="YR96" s="46"/>
      <c r="YS96" s="46"/>
      <c r="YT96" s="46"/>
      <c r="YU96" s="46"/>
      <c r="YV96" s="46"/>
      <c r="YW96" s="46"/>
      <c r="YX96" s="46"/>
      <c r="YY96" s="46"/>
      <c r="YZ96" s="46"/>
      <c r="ZA96" s="46"/>
      <c r="ZB96" s="46"/>
      <c r="ZC96" s="46"/>
      <c r="ZD96" s="46"/>
      <c r="ZE96" s="46"/>
      <c r="ZF96" s="46"/>
      <c r="ZG96" s="46"/>
      <c r="ZH96" s="46"/>
      <c r="ZI96" s="46"/>
      <c r="ZJ96" s="46"/>
      <c r="ZK96" s="46"/>
      <c r="ZL96" s="46"/>
      <c r="ZM96" s="46"/>
      <c r="ZN96" s="46"/>
      <c r="ZO96" s="46"/>
      <c r="ZP96" s="46"/>
      <c r="ZQ96" s="46"/>
      <c r="ZR96" s="46"/>
      <c r="ZS96" s="46"/>
      <c r="ZT96" s="46"/>
      <c r="ZU96" s="46"/>
      <c r="ZV96" s="46"/>
      <c r="ZW96" s="46"/>
      <c r="ZX96" s="46"/>
      <c r="ZY96" s="46"/>
      <c r="ZZ96" s="46"/>
      <c r="AAA96" s="46"/>
      <c r="AAB96" s="46"/>
      <c r="AAC96" s="46"/>
      <c r="AAD96" s="46"/>
      <c r="AAE96" s="46"/>
      <c r="AAF96" s="46"/>
      <c r="AAG96" s="46"/>
      <c r="AAH96" s="46"/>
      <c r="AAI96" s="46"/>
      <c r="AAJ96" s="46"/>
      <c r="AAK96" s="46"/>
      <c r="AAL96" s="46"/>
      <c r="AAM96" s="46"/>
      <c r="AAN96" s="46"/>
      <c r="AAO96" s="46"/>
      <c r="AAP96" s="46"/>
      <c r="AAQ96" s="46"/>
      <c r="AAR96" s="46"/>
      <c r="AAS96" s="46"/>
      <c r="AAT96" s="46"/>
    </row>
    <row r="97" spans="1:724" s="60" customFormat="1" ht="21" customHeight="1">
      <c r="A97" s="44">
        <v>3</v>
      </c>
      <c r="B97" s="58">
        <v>5304367</v>
      </c>
      <c r="C97" s="27" t="s">
        <v>83</v>
      </c>
      <c r="D97" s="78" t="s">
        <v>118</v>
      </c>
      <c r="E97" s="62">
        <v>2</v>
      </c>
      <c r="F97" s="30">
        <f>VLOOKUP(B97,'Estampados por manguera'!A$2:B$500,2,FALSE)</f>
        <v>1</v>
      </c>
      <c r="G97" s="30">
        <f t="shared" si="73"/>
        <v>2</v>
      </c>
      <c r="H97" s="32">
        <v>6</v>
      </c>
      <c r="I97" s="30">
        <f t="shared" si="74"/>
        <v>12</v>
      </c>
      <c r="J97" s="32">
        <f t="shared" si="75"/>
        <v>180</v>
      </c>
      <c r="K97" s="30">
        <f t="shared" si="76"/>
        <v>192</v>
      </c>
      <c r="L97" s="32">
        <v>1200</v>
      </c>
      <c r="M97" s="30">
        <f>VLOOKUP(B97,'Mangueras por contenedor'!A$2:B$500,2,FALSE)</f>
        <v>75</v>
      </c>
      <c r="N97" s="45">
        <f t="shared" si="77"/>
        <v>2.6666666666666668E-2</v>
      </c>
      <c r="O97" s="11">
        <f t="shared" si="78"/>
        <v>30</v>
      </c>
      <c r="P97" s="32">
        <f t="shared" si="79"/>
        <v>450</v>
      </c>
      <c r="Q97" s="11">
        <v>1</v>
      </c>
      <c r="R97" s="32">
        <f t="shared" si="81"/>
        <v>450</v>
      </c>
      <c r="S97" s="32">
        <f t="shared" si="82"/>
        <v>30</v>
      </c>
      <c r="T97" s="32">
        <f t="shared" si="83"/>
        <v>75</v>
      </c>
      <c r="U97" s="59" t="str">
        <f t="shared" si="98"/>
        <v/>
      </c>
      <c r="V97" s="59" t="str">
        <f t="shared" si="98"/>
        <v/>
      </c>
      <c r="W97" s="59" t="str">
        <f t="shared" si="98"/>
        <v/>
      </c>
      <c r="X97" s="59" t="str">
        <f t="shared" si="98"/>
        <v/>
      </c>
      <c r="Y97" s="59" t="str">
        <f t="shared" si="98"/>
        <v/>
      </c>
      <c r="Z97" s="59" t="str">
        <f t="shared" si="98"/>
        <v/>
      </c>
      <c r="AA97" s="59" t="str">
        <f t="shared" si="98"/>
        <v/>
      </c>
      <c r="AB97" s="59" t="str">
        <f t="shared" si="98"/>
        <v/>
      </c>
      <c r="AC97" s="59" t="str">
        <f t="shared" si="98"/>
        <v/>
      </c>
      <c r="AD97" s="59" t="str">
        <f t="shared" si="98"/>
        <v/>
      </c>
      <c r="AE97" s="59" t="str">
        <f t="shared" si="99"/>
        <v/>
      </c>
      <c r="AF97" s="59" t="str">
        <f t="shared" si="99"/>
        <v/>
      </c>
      <c r="AG97" s="59" t="str">
        <f t="shared" si="99"/>
        <v/>
      </c>
      <c r="AH97" s="67" t="str">
        <f t="shared" si="99"/>
        <v/>
      </c>
      <c r="AI97" s="67" t="str">
        <f t="shared" si="99"/>
        <v/>
      </c>
      <c r="AJ97" s="67" t="str">
        <f t="shared" si="99"/>
        <v/>
      </c>
      <c r="AK97" s="67" t="str">
        <f t="shared" si="99"/>
        <v/>
      </c>
      <c r="AL97" s="67" t="str">
        <f t="shared" si="99"/>
        <v/>
      </c>
      <c r="AM97" s="67" t="str">
        <f t="shared" si="99"/>
        <v/>
      </c>
      <c r="AN97" s="67" t="str">
        <f t="shared" si="99"/>
        <v/>
      </c>
      <c r="AO97" s="67" t="str">
        <f t="shared" si="99"/>
        <v/>
      </c>
      <c r="AP97" s="67" t="str">
        <f t="shared" si="99"/>
        <v/>
      </c>
      <c r="AQ97" s="67" t="str">
        <f t="shared" si="97"/>
        <v/>
      </c>
      <c r="AR97" s="67" t="str">
        <f t="shared" si="97"/>
        <v/>
      </c>
      <c r="AS97" s="67" t="str">
        <f t="shared" si="96"/>
        <v/>
      </c>
      <c r="AT97" s="67" t="str">
        <f t="shared" si="96"/>
        <v/>
      </c>
      <c r="AU97" s="68" t="str">
        <f t="shared" si="96"/>
        <v/>
      </c>
      <c r="AV97" s="68" t="str">
        <f t="shared" si="96"/>
        <v/>
      </c>
      <c r="AW97" s="68" t="str">
        <f t="shared" si="93"/>
        <v/>
      </c>
      <c r="AX97" s="68" t="str">
        <f t="shared" si="93"/>
        <v>X</v>
      </c>
      <c r="AY97" s="68" t="str">
        <f t="shared" si="92"/>
        <v/>
      </c>
      <c r="AZ97" s="68" t="str">
        <f t="shared" si="88"/>
        <v/>
      </c>
      <c r="BA97" s="68" t="str">
        <f t="shared" si="88"/>
        <v/>
      </c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/>
      <c r="CI97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  <c r="DW97" s="46"/>
      <c r="DX97" s="46"/>
      <c r="DY97" s="46"/>
      <c r="DZ97" s="46"/>
      <c r="EA97" s="46"/>
      <c r="EB97" s="46"/>
      <c r="EC97" s="46"/>
      <c r="ED97" s="46"/>
      <c r="EE97" s="46"/>
      <c r="EF97" s="46"/>
      <c r="EG97" s="46"/>
      <c r="EH97" s="46"/>
      <c r="EI97" s="46"/>
      <c r="EJ97" s="46"/>
      <c r="EK97" s="46"/>
      <c r="EL97" s="46"/>
      <c r="EM97" s="46"/>
      <c r="EN97" s="46"/>
      <c r="EO97" s="46"/>
      <c r="EP97" s="46"/>
      <c r="EQ97" s="46"/>
      <c r="ER97" s="46"/>
      <c r="ES97" s="46"/>
      <c r="ET97" s="46"/>
      <c r="EU97" s="46"/>
      <c r="EV97" s="46"/>
      <c r="EW97" s="46"/>
      <c r="EX97" s="46"/>
      <c r="EY97" s="46"/>
      <c r="EZ97" s="46"/>
      <c r="FA97" s="46"/>
      <c r="FB97" s="46"/>
      <c r="FC97" s="46"/>
      <c r="FD97" s="46"/>
      <c r="FE97" s="46"/>
      <c r="FF97" s="46"/>
      <c r="FG97" s="46"/>
      <c r="FH97" s="46"/>
      <c r="FI97" s="46"/>
      <c r="FJ97" s="46"/>
      <c r="FK97" s="46"/>
      <c r="FL97" s="46"/>
      <c r="FM97" s="46"/>
      <c r="FN97" s="46"/>
      <c r="FO97" s="46"/>
      <c r="FP97" s="46"/>
      <c r="FQ97" s="46"/>
      <c r="FR97" s="46"/>
      <c r="FS97" s="46"/>
      <c r="FT97" s="46"/>
      <c r="FU97" s="46"/>
      <c r="FV97" s="46"/>
      <c r="FW97" s="46"/>
      <c r="FX97" s="46"/>
      <c r="FY97" s="46"/>
      <c r="FZ97" s="46"/>
      <c r="GA97" s="46"/>
      <c r="GB97" s="46"/>
      <c r="GC97" s="46"/>
      <c r="GD97" s="46"/>
      <c r="GE97" s="46"/>
      <c r="GF97" s="46"/>
      <c r="GG97" s="46"/>
      <c r="GH97" s="46"/>
      <c r="GI97" s="46"/>
      <c r="GJ97" s="46"/>
      <c r="GK97" s="46"/>
      <c r="GL97" s="46"/>
      <c r="GM97" s="46"/>
      <c r="GN97" s="46"/>
      <c r="GO97" s="46"/>
      <c r="GP97" s="46"/>
      <c r="GQ97" s="46"/>
      <c r="GR97" s="46"/>
      <c r="GS97" s="46"/>
      <c r="GT97" s="46"/>
      <c r="GU97" s="46"/>
      <c r="GV97" s="46"/>
      <c r="GW97" s="46"/>
      <c r="GX97" s="46"/>
      <c r="GY97" s="46"/>
      <c r="GZ97" s="46"/>
      <c r="HA97" s="46"/>
      <c r="HB97" s="46"/>
      <c r="HC97" s="46"/>
      <c r="HD97" s="46"/>
      <c r="HE97" s="46"/>
      <c r="HF97" s="46"/>
      <c r="HG97" s="46"/>
      <c r="HH97" s="46"/>
      <c r="HI97" s="46"/>
      <c r="HJ97" s="46"/>
      <c r="HK97" s="46"/>
      <c r="HL97" s="46"/>
      <c r="HM97" s="46"/>
      <c r="HN97" s="46"/>
      <c r="HO97" s="46"/>
      <c r="HP97" s="46"/>
      <c r="HQ97" s="46"/>
      <c r="HR97" s="46"/>
      <c r="HS97" s="46"/>
      <c r="HT97" s="46"/>
      <c r="HU97" s="46"/>
      <c r="HV97" s="46"/>
      <c r="HW97" s="46"/>
      <c r="HX97" s="46"/>
      <c r="HY97" s="46"/>
      <c r="HZ97" s="46"/>
      <c r="IA97" s="46"/>
      <c r="IB97" s="46"/>
      <c r="IC97" s="46"/>
      <c r="ID97" s="46"/>
      <c r="IE97" s="46"/>
      <c r="IF97" s="46"/>
      <c r="IG97" s="46"/>
      <c r="IH97" s="46"/>
      <c r="II97" s="46"/>
      <c r="IJ97" s="46"/>
      <c r="IK97" s="46"/>
      <c r="IL97" s="46"/>
      <c r="IM97" s="46"/>
      <c r="IN97" s="46"/>
      <c r="IO97" s="46"/>
      <c r="IP97" s="46"/>
      <c r="IQ97" s="46"/>
      <c r="IR97" s="46"/>
      <c r="IS97" s="46"/>
      <c r="IT97" s="46"/>
      <c r="IU97" s="46"/>
      <c r="IV97" s="46"/>
      <c r="IW97" s="46"/>
      <c r="IX97" s="46"/>
      <c r="IY97" s="46"/>
      <c r="IZ97" s="46"/>
      <c r="JA97" s="46"/>
      <c r="JB97" s="46"/>
      <c r="JC97" s="46"/>
      <c r="JD97" s="46"/>
      <c r="JE97" s="46"/>
      <c r="JF97" s="46"/>
      <c r="JG97" s="46"/>
      <c r="JH97" s="46"/>
      <c r="JI97" s="46"/>
      <c r="JJ97" s="46"/>
      <c r="JK97" s="46"/>
      <c r="JL97" s="46"/>
      <c r="JM97" s="46"/>
      <c r="JN97" s="46"/>
      <c r="JO97" s="46"/>
      <c r="JP97" s="46"/>
      <c r="JQ97" s="46"/>
      <c r="JR97" s="46"/>
      <c r="JS97" s="46"/>
      <c r="JT97" s="46"/>
      <c r="JU97" s="46"/>
      <c r="JV97" s="46"/>
      <c r="JW97" s="46"/>
      <c r="JX97" s="46"/>
      <c r="JY97" s="46"/>
      <c r="JZ97" s="46"/>
      <c r="KA97" s="46"/>
      <c r="KB97" s="46"/>
      <c r="KC97" s="46"/>
      <c r="KD97" s="46"/>
      <c r="KE97" s="46"/>
      <c r="KF97" s="46"/>
      <c r="KG97" s="46"/>
      <c r="KH97" s="46"/>
      <c r="KI97" s="46"/>
      <c r="KJ97" s="46"/>
      <c r="KK97" s="46"/>
      <c r="KL97" s="46"/>
      <c r="KM97" s="46"/>
      <c r="KN97" s="46"/>
      <c r="KO97" s="46"/>
      <c r="KP97" s="46"/>
      <c r="KQ97" s="46"/>
      <c r="KR97" s="46"/>
      <c r="KS97" s="46"/>
      <c r="KT97" s="46"/>
      <c r="KU97" s="46"/>
      <c r="KV97" s="46"/>
      <c r="KW97" s="46"/>
      <c r="KX97" s="46"/>
      <c r="KY97" s="46"/>
      <c r="KZ97" s="46"/>
      <c r="LA97" s="46"/>
      <c r="LB97" s="46"/>
      <c r="LC97" s="46"/>
      <c r="LD97" s="46"/>
      <c r="LE97" s="46"/>
      <c r="LF97" s="46"/>
      <c r="LG97" s="46"/>
      <c r="LH97" s="46"/>
      <c r="LI97" s="46"/>
      <c r="LJ97" s="46"/>
      <c r="LK97" s="46"/>
      <c r="LL97" s="46"/>
      <c r="LM97" s="46"/>
      <c r="LN97" s="46"/>
      <c r="LO97" s="46"/>
      <c r="LP97" s="46"/>
      <c r="LQ97" s="46"/>
      <c r="LR97" s="46"/>
      <c r="LS97" s="46"/>
      <c r="LT97" s="46"/>
      <c r="LU97" s="46"/>
      <c r="LV97" s="46"/>
      <c r="LW97" s="46"/>
      <c r="LX97" s="46"/>
      <c r="LY97" s="46"/>
      <c r="LZ97" s="46"/>
      <c r="MA97" s="46"/>
      <c r="MB97" s="46"/>
      <c r="MC97" s="46"/>
      <c r="MD97" s="46"/>
      <c r="ME97" s="46"/>
      <c r="MF97" s="46"/>
      <c r="MG97" s="46"/>
      <c r="MH97" s="46"/>
      <c r="MI97" s="46"/>
      <c r="MJ97" s="46"/>
      <c r="MK97" s="46"/>
      <c r="ML97" s="46"/>
      <c r="MM97" s="46"/>
      <c r="MN97" s="46"/>
      <c r="MO97" s="46"/>
      <c r="MP97" s="46"/>
      <c r="MQ97" s="46"/>
      <c r="MR97" s="46"/>
      <c r="MS97" s="46"/>
      <c r="MT97" s="46"/>
      <c r="MU97" s="46"/>
      <c r="MV97" s="46"/>
      <c r="MW97" s="46"/>
      <c r="MX97" s="46"/>
      <c r="MY97" s="46"/>
      <c r="MZ97" s="46"/>
      <c r="NA97" s="46"/>
      <c r="NB97" s="46"/>
      <c r="NC97" s="46"/>
      <c r="ND97" s="46"/>
      <c r="NE97" s="46"/>
      <c r="NF97" s="46"/>
      <c r="NG97" s="46"/>
      <c r="NH97" s="46"/>
      <c r="NI97" s="46"/>
      <c r="NJ97" s="46"/>
      <c r="NK97" s="46"/>
      <c r="NL97" s="46"/>
      <c r="NM97" s="46"/>
      <c r="NN97" s="46"/>
      <c r="NO97" s="46"/>
      <c r="NP97" s="46"/>
      <c r="NQ97" s="46"/>
      <c r="NR97" s="46"/>
      <c r="NS97" s="46"/>
      <c r="NT97" s="46"/>
      <c r="NU97" s="46"/>
      <c r="NV97" s="46"/>
      <c r="NW97" s="46"/>
      <c r="NX97" s="46"/>
      <c r="NY97" s="46"/>
      <c r="NZ97" s="46"/>
      <c r="OA97" s="46"/>
      <c r="OB97" s="46"/>
      <c r="OC97" s="46"/>
      <c r="OD97" s="46"/>
      <c r="OE97" s="46"/>
      <c r="OF97" s="46"/>
      <c r="OG97" s="46"/>
      <c r="OH97" s="46"/>
      <c r="OI97" s="46"/>
      <c r="OJ97" s="46"/>
      <c r="OK97" s="46"/>
      <c r="OL97" s="46"/>
      <c r="OM97" s="46"/>
      <c r="ON97" s="46"/>
      <c r="OO97" s="46"/>
      <c r="OP97" s="46"/>
      <c r="OQ97" s="46"/>
      <c r="OR97" s="46"/>
      <c r="OS97" s="46"/>
      <c r="OT97" s="46"/>
      <c r="OU97" s="46"/>
      <c r="OV97" s="46"/>
      <c r="OW97" s="46"/>
      <c r="OX97" s="46"/>
      <c r="OY97" s="46"/>
      <c r="OZ97" s="46"/>
      <c r="PA97" s="46"/>
      <c r="PB97" s="46"/>
      <c r="PC97" s="46"/>
      <c r="PD97" s="46"/>
      <c r="PE97" s="46"/>
      <c r="PF97" s="46"/>
      <c r="PG97" s="46"/>
      <c r="PH97" s="46"/>
      <c r="PI97" s="46"/>
      <c r="PJ97" s="46"/>
      <c r="PK97" s="46"/>
      <c r="PL97" s="46"/>
      <c r="PM97" s="46"/>
      <c r="PN97" s="46"/>
      <c r="PO97" s="46"/>
      <c r="PP97" s="46"/>
      <c r="PQ97" s="46"/>
      <c r="PR97" s="46"/>
      <c r="PS97" s="46"/>
      <c r="PT97" s="46"/>
      <c r="PU97" s="46"/>
      <c r="PV97" s="46"/>
      <c r="PW97" s="46"/>
      <c r="PX97" s="46"/>
      <c r="PY97" s="46"/>
      <c r="PZ97" s="46"/>
      <c r="QA97" s="46"/>
      <c r="QB97" s="46"/>
      <c r="QC97" s="46"/>
      <c r="QD97" s="46"/>
      <c r="QE97" s="46"/>
      <c r="QF97" s="46"/>
      <c r="QG97" s="46"/>
      <c r="QH97" s="46"/>
      <c r="QI97" s="46"/>
      <c r="QJ97" s="46"/>
      <c r="QK97" s="46"/>
      <c r="QL97" s="46"/>
      <c r="QM97" s="46"/>
      <c r="QN97" s="46"/>
      <c r="QO97" s="46"/>
      <c r="QP97" s="46"/>
      <c r="QQ97" s="46"/>
      <c r="QR97" s="46"/>
      <c r="QS97" s="46"/>
      <c r="QT97" s="46"/>
      <c r="QU97" s="46"/>
      <c r="QV97" s="46"/>
      <c r="QW97" s="46"/>
      <c r="QX97" s="46"/>
      <c r="QY97" s="46"/>
      <c r="QZ97" s="46"/>
      <c r="RA97" s="46"/>
      <c r="RB97" s="46"/>
      <c r="RC97" s="46"/>
      <c r="RD97" s="46"/>
      <c r="RE97" s="46"/>
      <c r="RF97" s="46"/>
      <c r="RG97" s="46"/>
      <c r="RH97" s="46"/>
      <c r="RI97" s="46"/>
      <c r="RJ97" s="46"/>
      <c r="RK97" s="46"/>
      <c r="RL97" s="46"/>
      <c r="RM97" s="46"/>
      <c r="RN97" s="46"/>
      <c r="RO97" s="46"/>
      <c r="RP97" s="46"/>
      <c r="RQ97" s="46"/>
      <c r="RR97" s="46"/>
      <c r="RS97" s="46"/>
      <c r="RT97" s="46"/>
      <c r="RU97" s="46"/>
      <c r="RV97" s="46"/>
      <c r="RW97" s="46"/>
      <c r="RX97" s="46"/>
      <c r="RY97" s="46"/>
      <c r="RZ97" s="46"/>
      <c r="SA97" s="46"/>
      <c r="SB97" s="46"/>
      <c r="SC97" s="46"/>
      <c r="SD97" s="46"/>
      <c r="SE97" s="46"/>
      <c r="SF97" s="46"/>
      <c r="SG97" s="46"/>
      <c r="SH97" s="46"/>
      <c r="SI97" s="46"/>
      <c r="SJ97" s="46"/>
      <c r="SK97" s="46"/>
      <c r="SL97" s="46"/>
      <c r="SM97" s="46"/>
      <c r="SN97" s="46"/>
      <c r="SO97" s="46"/>
      <c r="SP97" s="46"/>
      <c r="SQ97" s="46"/>
      <c r="SR97" s="46"/>
      <c r="SS97" s="46"/>
      <c r="ST97" s="46"/>
      <c r="SU97" s="46"/>
      <c r="SV97" s="46"/>
      <c r="SW97" s="46"/>
      <c r="SX97" s="46"/>
      <c r="SY97" s="46"/>
      <c r="SZ97" s="46"/>
      <c r="TA97" s="46"/>
      <c r="TB97" s="46"/>
      <c r="TC97" s="46"/>
      <c r="TD97" s="46"/>
      <c r="TE97" s="46"/>
      <c r="TF97" s="46"/>
      <c r="TG97" s="46"/>
      <c r="TH97" s="46"/>
      <c r="TI97" s="46"/>
      <c r="TJ97" s="46"/>
      <c r="TK97" s="46"/>
      <c r="TL97" s="46"/>
      <c r="TM97" s="46"/>
      <c r="TN97" s="46"/>
      <c r="TO97" s="46"/>
      <c r="TP97" s="46"/>
      <c r="TQ97" s="46"/>
      <c r="TR97" s="46"/>
      <c r="TS97" s="46"/>
      <c r="TT97" s="46"/>
      <c r="TU97" s="46"/>
      <c r="TV97" s="46"/>
      <c r="TW97" s="46"/>
      <c r="TX97" s="46"/>
      <c r="TY97" s="46"/>
      <c r="TZ97" s="46"/>
      <c r="UA97" s="46"/>
      <c r="UB97" s="46"/>
      <c r="UC97" s="46"/>
      <c r="UD97" s="46"/>
      <c r="UE97" s="46"/>
      <c r="UF97" s="46"/>
      <c r="UG97" s="46"/>
      <c r="UH97" s="46"/>
      <c r="UI97" s="46"/>
      <c r="UJ97" s="46"/>
      <c r="UK97" s="46"/>
      <c r="UL97" s="46"/>
      <c r="UM97" s="46"/>
      <c r="UN97" s="46"/>
      <c r="UO97" s="46"/>
      <c r="UP97" s="46"/>
      <c r="UQ97" s="46"/>
      <c r="UR97" s="46"/>
      <c r="US97" s="46"/>
      <c r="UT97" s="46"/>
      <c r="UU97" s="46"/>
      <c r="UV97" s="46"/>
      <c r="UW97" s="46"/>
      <c r="UX97" s="46"/>
      <c r="UY97" s="46"/>
      <c r="UZ97" s="46"/>
      <c r="VA97" s="46"/>
      <c r="VB97" s="46"/>
      <c r="VC97" s="46"/>
      <c r="VD97" s="46"/>
      <c r="VE97" s="46"/>
      <c r="VF97" s="46"/>
      <c r="VG97" s="46"/>
      <c r="VH97" s="46"/>
      <c r="VI97" s="46"/>
      <c r="VJ97" s="46"/>
      <c r="VK97" s="46"/>
      <c r="VL97" s="46"/>
      <c r="VM97" s="46"/>
      <c r="VN97" s="46"/>
      <c r="VO97" s="46"/>
      <c r="VP97" s="46"/>
      <c r="VQ97" s="46"/>
      <c r="VR97" s="46"/>
      <c r="VS97" s="46"/>
      <c r="VT97" s="46"/>
      <c r="VU97" s="46"/>
      <c r="VV97" s="46"/>
      <c r="VW97" s="46"/>
      <c r="VX97" s="46"/>
      <c r="VY97" s="46"/>
      <c r="VZ97" s="46"/>
      <c r="WA97" s="46"/>
      <c r="WB97" s="46"/>
      <c r="WC97" s="46"/>
      <c r="WD97" s="46"/>
      <c r="WE97" s="46"/>
      <c r="WF97" s="46"/>
      <c r="WG97" s="46"/>
      <c r="WH97" s="46"/>
      <c r="WI97" s="46"/>
      <c r="WJ97" s="46"/>
      <c r="WK97" s="46"/>
      <c r="WL97" s="46"/>
      <c r="WM97" s="46"/>
      <c r="WN97" s="46"/>
      <c r="WO97" s="46"/>
      <c r="WP97" s="46"/>
      <c r="WQ97" s="46"/>
      <c r="WR97" s="46"/>
      <c r="WS97" s="46"/>
      <c r="WT97" s="46"/>
      <c r="WU97" s="46"/>
      <c r="WV97" s="46"/>
      <c r="WW97" s="46"/>
      <c r="WX97" s="46"/>
      <c r="WY97" s="46"/>
      <c r="WZ97" s="46"/>
      <c r="XA97" s="46"/>
      <c r="XB97" s="46"/>
      <c r="XC97" s="46"/>
      <c r="XD97" s="46"/>
      <c r="XE97" s="46"/>
      <c r="XF97" s="46"/>
      <c r="XG97" s="46"/>
      <c r="XH97" s="46"/>
      <c r="XI97" s="46"/>
      <c r="XJ97" s="46"/>
      <c r="XK97" s="46"/>
      <c r="XL97" s="46"/>
      <c r="XM97" s="46"/>
      <c r="XN97" s="46"/>
      <c r="XO97" s="46"/>
      <c r="XP97" s="46"/>
      <c r="XQ97" s="46"/>
      <c r="XR97" s="46"/>
      <c r="XS97" s="46"/>
      <c r="XT97" s="46"/>
      <c r="XU97" s="46"/>
      <c r="XV97" s="46"/>
      <c r="XW97" s="46"/>
      <c r="XX97" s="46"/>
      <c r="XY97" s="46"/>
      <c r="XZ97" s="46"/>
      <c r="YA97" s="46"/>
      <c r="YB97" s="46"/>
      <c r="YC97" s="46"/>
      <c r="YD97" s="46"/>
      <c r="YE97" s="46"/>
      <c r="YF97" s="46"/>
      <c r="YG97" s="46"/>
      <c r="YH97" s="46"/>
      <c r="YI97" s="46"/>
      <c r="YJ97" s="46"/>
      <c r="YK97" s="46"/>
      <c r="YL97" s="46"/>
      <c r="YM97" s="46"/>
      <c r="YN97" s="46"/>
      <c r="YO97" s="46"/>
      <c r="YP97" s="46"/>
      <c r="YQ97" s="46"/>
      <c r="YR97" s="46"/>
      <c r="YS97" s="46"/>
      <c r="YT97" s="46"/>
      <c r="YU97" s="46"/>
      <c r="YV97" s="46"/>
      <c r="YW97" s="46"/>
      <c r="YX97" s="46"/>
      <c r="YY97" s="46"/>
      <c r="YZ97" s="46"/>
      <c r="ZA97" s="46"/>
      <c r="ZB97" s="46"/>
      <c r="ZC97" s="46"/>
      <c r="ZD97" s="46"/>
      <c r="ZE97" s="46"/>
      <c r="ZF97" s="46"/>
      <c r="ZG97" s="46"/>
      <c r="ZH97" s="46"/>
      <c r="ZI97" s="46"/>
      <c r="ZJ97" s="46"/>
      <c r="ZK97" s="46"/>
      <c r="ZL97" s="46"/>
      <c r="ZM97" s="46"/>
      <c r="ZN97" s="46"/>
      <c r="ZO97" s="46"/>
      <c r="ZP97" s="46"/>
      <c r="ZQ97" s="46"/>
      <c r="ZR97" s="46"/>
      <c r="ZS97" s="46"/>
      <c r="ZT97" s="46"/>
      <c r="ZU97" s="46"/>
      <c r="ZV97" s="46"/>
      <c r="ZW97" s="46"/>
      <c r="ZX97" s="46"/>
      <c r="ZY97" s="46"/>
      <c r="ZZ97" s="46"/>
      <c r="AAA97" s="46"/>
      <c r="AAB97" s="46"/>
      <c r="AAC97" s="46"/>
      <c r="AAD97" s="46"/>
      <c r="AAE97" s="46"/>
      <c r="AAF97" s="46"/>
      <c r="AAG97" s="46"/>
      <c r="AAH97" s="46"/>
      <c r="AAI97" s="46"/>
      <c r="AAJ97" s="46"/>
      <c r="AAK97" s="46"/>
      <c r="AAL97" s="46"/>
      <c r="AAM97" s="46"/>
      <c r="AAN97" s="46"/>
      <c r="AAO97" s="46"/>
      <c r="AAP97" s="46"/>
      <c r="AAQ97" s="46"/>
      <c r="AAR97" s="46"/>
      <c r="AAS97" s="46"/>
      <c r="AAT97" s="46"/>
      <c r="AAU97" s="46"/>
      <c r="AAV97" s="46"/>
    </row>
    <row r="98" spans="1:724" s="60" customFormat="1" ht="21" customHeight="1">
      <c r="A98" s="28">
        <v>3</v>
      </c>
      <c r="B98" s="58">
        <v>3387442</v>
      </c>
      <c r="C98" s="27" t="s">
        <v>65</v>
      </c>
      <c r="D98" s="78" t="s">
        <v>118</v>
      </c>
      <c r="E98" s="62">
        <v>1</v>
      </c>
      <c r="F98" s="30">
        <f>VLOOKUP(B98,'Estampados por manguera'!A$2:B$500,2,FALSE)</f>
        <v>3</v>
      </c>
      <c r="G98" s="30">
        <f t="shared" si="73"/>
        <v>3</v>
      </c>
      <c r="H98" s="32">
        <v>6</v>
      </c>
      <c r="I98" s="30">
        <f t="shared" si="74"/>
        <v>18</v>
      </c>
      <c r="J98" s="32">
        <f t="shared" si="75"/>
        <v>180</v>
      </c>
      <c r="K98" s="30">
        <f t="shared" si="76"/>
        <v>198</v>
      </c>
      <c r="L98" s="32">
        <v>1203</v>
      </c>
      <c r="M98" s="30">
        <f>VLOOKUP(B98,'Mangueras por contenedor'!A$2:B$500,2,FALSE)</f>
        <v>46</v>
      </c>
      <c r="N98" s="45">
        <f t="shared" si="77"/>
        <v>2.1739130434782608E-2</v>
      </c>
      <c r="O98" s="11">
        <f t="shared" si="78"/>
        <v>33</v>
      </c>
      <c r="P98" s="32">
        <f t="shared" si="79"/>
        <v>828</v>
      </c>
      <c r="Q98" s="11">
        <v>1</v>
      </c>
      <c r="R98" s="32">
        <f t="shared" si="81"/>
        <v>828</v>
      </c>
      <c r="S98" s="32">
        <f t="shared" si="82"/>
        <v>33</v>
      </c>
      <c r="T98" s="32">
        <f t="shared" si="83"/>
        <v>46</v>
      </c>
      <c r="U98" s="59" t="str">
        <f t="shared" si="98"/>
        <v/>
      </c>
      <c r="V98" s="59" t="str">
        <f t="shared" si="98"/>
        <v/>
      </c>
      <c r="W98" s="59" t="str">
        <f t="shared" si="98"/>
        <v/>
      </c>
      <c r="X98" s="59" t="str">
        <f t="shared" si="98"/>
        <v/>
      </c>
      <c r="Y98" s="59" t="str">
        <f t="shared" si="98"/>
        <v/>
      </c>
      <c r="Z98" s="59" t="str">
        <f t="shared" si="98"/>
        <v/>
      </c>
      <c r="AA98" s="59" t="str">
        <f t="shared" si="98"/>
        <v/>
      </c>
      <c r="AB98" s="59" t="str">
        <f t="shared" si="98"/>
        <v/>
      </c>
      <c r="AC98" s="59" t="str">
        <f t="shared" si="98"/>
        <v/>
      </c>
      <c r="AD98" s="59" t="str">
        <f t="shared" si="98"/>
        <v/>
      </c>
      <c r="AE98" s="59" t="str">
        <f t="shared" si="99"/>
        <v/>
      </c>
      <c r="AF98" s="59" t="str">
        <f t="shared" si="99"/>
        <v/>
      </c>
      <c r="AG98" s="59" t="str">
        <f t="shared" si="99"/>
        <v/>
      </c>
      <c r="AH98" s="67" t="str">
        <f t="shared" si="99"/>
        <v/>
      </c>
      <c r="AI98" s="67" t="str">
        <f t="shared" si="99"/>
        <v/>
      </c>
      <c r="AJ98" s="67" t="str">
        <f t="shared" si="99"/>
        <v/>
      </c>
      <c r="AK98" s="67" t="str">
        <f t="shared" si="99"/>
        <v/>
      </c>
      <c r="AL98" s="67" t="str">
        <f t="shared" si="99"/>
        <v/>
      </c>
      <c r="AM98" s="67" t="str">
        <f t="shared" si="99"/>
        <v/>
      </c>
      <c r="AN98" s="67" t="str">
        <f t="shared" si="99"/>
        <v/>
      </c>
      <c r="AO98" s="67" t="str">
        <f t="shared" si="99"/>
        <v/>
      </c>
      <c r="AP98" s="67" t="str">
        <f t="shared" si="99"/>
        <v/>
      </c>
      <c r="AQ98" s="67" t="str">
        <f t="shared" si="97"/>
        <v/>
      </c>
      <c r="AR98" s="67" t="str">
        <f t="shared" si="97"/>
        <v/>
      </c>
      <c r="AS98" s="67" t="str">
        <f t="shared" si="96"/>
        <v/>
      </c>
      <c r="AT98" s="67" t="str">
        <f t="shared" si="96"/>
        <v/>
      </c>
      <c r="AU98" s="68" t="str">
        <f t="shared" si="96"/>
        <v/>
      </c>
      <c r="AV98" s="68" t="str">
        <f t="shared" si="96"/>
        <v/>
      </c>
      <c r="AW98" s="68" t="str">
        <f t="shared" si="93"/>
        <v/>
      </c>
      <c r="AX98" s="68" t="str">
        <f t="shared" si="93"/>
        <v/>
      </c>
      <c r="AY98" s="68" t="str">
        <f t="shared" si="92"/>
        <v/>
      </c>
      <c r="AZ98" s="68" t="str">
        <f t="shared" si="88"/>
        <v/>
      </c>
      <c r="BA98" s="68" t="str">
        <f t="shared" si="88"/>
        <v>X</v>
      </c>
    </row>
    <row r="99" spans="1:724" s="60" customFormat="1" ht="21" customHeight="1">
      <c r="A99" s="28">
        <v>3</v>
      </c>
      <c r="B99" s="58">
        <v>5204249</v>
      </c>
      <c r="C99" s="27" t="s">
        <v>121</v>
      </c>
      <c r="D99" s="78" t="s">
        <v>118</v>
      </c>
      <c r="E99" s="62">
        <v>1</v>
      </c>
      <c r="F99" s="31">
        <f>VLOOKUP(B99,'Estampados por manguera'!A$2:B$500,2,FALSE)</f>
        <v>2</v>
      </c>
      <c r="G99" s="31">
        <f t="shared" si="73"/>
        <v>2</v>
      </c>
      <c r="H99" s="20">
        <v>6</v>
      </c>
      <c r="I99" s="29">
        <f t="shared" si="74"/>
        <v>12</v>
      </c>
      <c r="J99" s="32">
        <f t="shared" si="75"/>
        <v>180</v>
      </c>
      <c r="K99" s="31">
        <f t="shared" si="76"/>
        <v>192</v>
      </c>
      <c r="L99" s="11">
        <v>1200</v>
      </c>
      <c r="M99" s="31">
        <f>VLOOKUP(B99,'Mangueras por contenedor'!A$2:B$500,2,FALSE)</f>
        <v>35</v>
      </c>
      <c r="N99" s="35">
        <f t="shared" si="77"/>
        <v>2.8571428571428571E-2</v>
      </c>
      <c r="O99" s="11">
        <f t="shared" si="78"/>
        <v>28</v>
      </c>
      <c r="P99" s="11">
        <f t="shared" si="79"/>
        <v>420</v>
      </c>
      <c r="Q99" s="11">
        <v>1</v>
      </c>
      <c r="R99" s="32">
        <f t="shared" si="81"/>
        <v>420</v>
      </c>
      <c r="S99" s="32">
        <f t="shared" si="82"/>
        <v>28</v>
      </c>
      <c r="T99" s="32">
        <f t="shared" si="83"/>
        <v>35</v>
      </c>
      <c r="U99" s="59" t="str">
        <f t="shared" si="98"/>
        <v/>
      </c>
      <c r="V99" s="59" t="str">
        <f t="shared" si="98"/>
        <v/>
      </c>
      <c r="W99" s="59" t="str">
        <f t="shared" si="98"/>
        <v/>
      </c>
      <c r="X99" s="59" t="str">
        <f t="shared" si="98"/>
        <v/>
      </c>
      <c r="Y99" s="59" t="str">
        <f t="shared" si="98"/>
        <v/>
      </c>
      <c r="Z99" s="59" t="str">
        <f t="shared" si="98"/>
        <v/>
      </c>
      <c r="AA99" s="59" t="str">
        <f t="shared" si="98"/>
        <v/>
      </c>
      <c r="AB99" s="59" t="str">
        <f t="shared" si="98"/>
        <v/>
      </c>
      <c r="AC99" s="59" t="str">
        <f t="shared" si="98"/>
        <v/>
      </c>
      <c r="AD99" s="59" t="str">
        <f t="shared" si="98"/>
        <v/>
      </c>
      <c r="AE99" s="59" t="str">
        <f t="shared" si="99"/>
        <v/>
      </c>
      <c r="AF99" s="59" t="str">
        <f t="shared" si="99"/>
        <v/>
      </c>
      <c r="AG99" s="59" t="str">
        <f t="shared" si="99"/>
        <v/>
      </c>
      <c r="AH99" s="67" t="str">
        <f t="shared" si="99"/>
        <v/>
      </c>
      <c r="AI99" s="67" t="str">
        <f t="shared" si="99"/>
        <v/>
      </c>
      <c r="AJ99" s="67" t="str">
        <f t="shared" si="99"/>
        <v/>
      </c>
      <c r="AK99" s="67" t="str">
        <f t="shared" si="99"/>
        <v/>
      </c>
      <c r="AL99" s="67" t="str">
        <f t="shared" si="99"/>
        <v/>
      </c>
      <c r="AM99" s="67" t="str">
        <f t="shared" si="99"/>
        <v/>
      </c>
      <c r="AN99" s="67" t="str">
        <f t="shared" si="99"/>
        <v/>
      </c>
      <c r="AO99" s="67" t="str">
        <f t="shared" si="99"/>
        <v/>
      </c>
      <c r="AP99" s="67" t="str">
        <f t="shared" si="99"/>
        <v/>
      </c>
      <c r="AQ99" s="67" t="str">
        <f t="shared" si="97"/>
        <v/>
      </c>
      <c r="AR99" s="67" t="str">
        <f t="shared" si="97"/>
        <v/>
      </c>
      <c r="AS99" s="67" t="str">
        <f t="shared" si="96"/>
        <v/>
      </c>
      <c r="AT99" s="67" t="str">
        <f t="shared" si="96"/>
        <v/>
      </c>
      <c r="AU99" s="68" t="str">
        <f t="shared" si="96"/>
        <v/>
      </c>
      <c r="AV99" s="68" t="str">
        <f t="shared" si="96"/>
        <v>X</v>
      </c>
      <c r="AW99" s="68" t="str">
        <f t="shared" si="93"/>
        <v/>
      </c>
      <c r="AX99" s="68" t="str">
        <f t="shared" si="93"/>
        <v/>
      </c>
      <c r="AY99" s="68" t="str">
        <f t="shared" si="92"/>
        <v/>
      </c>
      <c r="AZ99" s="68" t="str">
        <f t="shared" si="88"/>
        <v/>
      </c>
      <c r="BA99" s="68" t="str">
        <f t="shared" si="88"/>
        <v/>
      </c>
    </row>
    <row r="100" spans="1:724" s="60" customFormat="1" ht="21" customHeight="1">
      <c r="A100" s="44">
        <v>3</v>
      </c>
      <c r="B100" s="58">
        <v>5204250</v>
      </c>
      <c r="C100" s="27" t="s">
        <v>193</v>
      </c>
      <c r="D100" s="78" t="s">
        <v>118</v>
      </c>
      <c r="E100" s="62">
        <v>1</v>
      </c>
      <c r="F100" s="30">
        <f>VLOOKUP(B100,'Estampados por manguera'!A$2:B$500,2,FALSE)</f>
        <v>2</v>
      </c>
      <c r="G100" s="30">
        <f t="shared" si="73"/>
        <v>2</v>
      </c>
      <c r="H100" s="32">
        <v>6</v>
      </c>
      <c r="I100" s="30">
        <f t="shared" si="74"/>
        <v>12</v>
      </c>
      <c r="J100" s="32">
        <f t="shared" si="75"/>
        <v>180</v>
      </c>
      <c r="K100" s="30">
        <f t="shared" si="76"/>
        <v>192</v>
      </c>
      <c r="L100" s="32">
        <v>1200</v>
      </c>
      <c r="M100" s="30">
        <f>VLOOKUP(B100,'Mangueras por contenedor'!A$2:B$500,2,FALSE)</f>
        <v>30</v>
      </c>
      <c r="N100" s="45">
        <f t="shared" si="77"/>
        <v>3.3333333333333333E-2</v>
      </c>
      <c r="O100" s="11">
        <f t="shared" si="78"/>
        <v>24</v>
      </c>
      <c r="P100" s="32">
        <f t="shared" si="79"/>
        <v>360</v>
      </c>
      <c r="Q100" s="11">
        <v>1</v>
      </c>
      <c r="R100" s="32">
        <f t="shared" si="81"/>
        <v>360</v>
      </c>
      <c r="S100" s="32">
        <f t="shared" si="82"/>
        <v>24</v>
      </c>
      <c r="T100" s="32">
        <f t="shared" si="83"/>
        <v>30</v>
      </c>
      <c r="U100" s="59" t="str">
        <f t="shared" si="98"/>
        <v/>
      </c>
      <c r="V100" s="59" t="str">
        <f t="shared" si="98"/>
        <v/>
      </c>
      <c r="W100" s="59" t="str">
        <f t="shared" si="98"/>
        <v/>
      </c>
      <c r="X100" s="59" t="str">
        <f t="shared" si="98"/>
        <v/>
      </c>
      <c r="Y100" s="59" t="str">
        <f t="shared" si="98"/>
        <v/>
      </c>
      <c r="Z100" s="59" t="str">
        <f t="shared" si="98"/>
        <v/>
      </c>
      <c r="AA100" s="59" t="str">
        <f t="shared" si="98"/>
        <v/>
      </c>
      <c r="AB100" s="59" t="str">
        <f t="shared" si="98"/>
        <v/>
      </c>
      <c r="AC100" s="59" t="str">
        <f t="shared" si="98"/>
        <v/>
      </c>
      <c r="AD100" s="59" t="str">
        <f t="shared" si="98"/>
        <v/>
      </c>
      <c r="AE100" s="59" t="str">
        <f t="shared" si="99"/>
        <v/>
      </c>
      <c r="AF100" s="59" t="str">
        <f t="shared" si="99"/>
        <v/>
      </c>
      <c r="AG100" s="59" t="str">
        <f t="shared" si="99"/>
        <v/>
      </c>
      <c r="AH100" s="67" t="str">
        <f t="shared" si="99"/>
        <v/>
      </c>
      <c r="AI100" s="67" t="str">
        <f t="shared" si="99"/>
        <v/>
      </c>
      <c r="AJ100" s="67" t="str">
        <f t="shared" si="99"/>
        <v/>
      </c>
      <c r="AK100" s="67" t="str">
        <f t="shared" si="99"/>
        <v/>
      </c>
      <c r="AL100" s="67" t="str">
        <f t="shared" si="99"/>
        <v/>
      </c>
      <c r="AM100" s="67" t="str">
        <f t="shared" si="99"/>
        <v/>
      </c>
      <c r="AN100" s="67" t="str">
        <f t="shared" si="99"/>
        <v/>
      </c>
      <c r="AO100" s="67" t="str">
        <f t="shared" si="99"/>
        <v/>
      </c>
      <c r="AP100" s="67" t="str">
        <f t="shared" si="99"/>
        <v/>
      </c>
      <c r="AQ100" s="67" t="str">
        <f t="shared" si="97"/>
        <v/>
      </c>
      <c r="AR100" s="67" t="str">
        <f t="shared" si="97"/>
        <v>X</v>
      </c>
      <c r="AS100" s="67" t="str">
        <f t="shared" si="96"/>
        <v/>
      </c>
      <c r="AT100" s="67" t="str">
        <f t="shared" si="96"/>
        <v/>
      </c>
      <c r="AU100" s="68" t="str">
        <f t="shared" si="96"/>
        <v/>
      </c>
      <c r="AV100" s="68" t="str">
        <f t="shared" si="96"/>
        <v/>
      </c>
      <c r="AW100" s="68" t="str">
        <f t="shared" si="93"/>
        <v/>
      </c>
      <c r="AX100" s="68" t="str">
        <f t="shared" si="93"/>
        <v/>
      </c>
      <c r="AY100" s="68" t="str">
        <f t="shared" si="92"/>
        <v/>
      </c>
      <c r="AZ100" s="68" t="str">
        <f t="shared" si="88"/>
        <v/>
      </c>
      <c r="BA100" s="68" t="str">
        <f t="shared" si="88"/>
        <v/>
      </c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  <c r="DW100" s="46"/>
      <c r="DX100" s="46"/>
      <c r="DY100" s="46"/>
      <c r="DZ100" s="46"/>
      <c r="EA100" s="46"/>
      <c r="EB100" s="46"/>
      <c r="EC100" s="46"/>
      <c r="ED100" s="46"/>
      <c r="EE100" s="46"/>
      <c r="EF100" s="46"/>
      <c r="EG100" s="46"/>
      <c r="EH100" s="46"/>
      <c r="EI100" s="46"/>
      <c r="EJ100" s="46"/>
      <c r="EK100" s="46"/>
      <c r="EL100" s="46"/>
      <c r="EM100" s="46"/>
      <c r="EN100" s="46"/>
      <c r="EO100" s="46"/>
      <c r="EP100" s="46"/>
      <c r="EQ100" s="46"/>
      <c r="ER100" s="46"/>
      <c r="ES100" s="46"/>
      <c r="ET100" s="46"/>
      <c r="EU100" s="46"/>
      <c r="EV100" s="46"/>
      <c r="EW100" s="46"/>
      <c r="EX100" s="46"/>
      <c r="EY100" s="46"/>
      <c r="EZ100" s="46"/>
      <c r="FA100" s="46"/>
      <c r="FB100" s="46"/>
      <c r="FC100" s="46"/>
      <c r="FD100" s="46"/>
      <c r="FE100" s="46"/>
      <c r="FF100" s="46"/>
      <c r="FG100" s="46"/>
      <c r="FH100" s="46"/>
      <c r="FI100" s="46"/>
      <c r="FJ100" s="46"/>
      <c r="FK100" s="46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  <c r="GI100" s="46"/>
      <c r="GJ100" s="46"/>
      <c r="GK100" s="46"/>
      <c r="GL100" s="46"/>
      <c r="GM100" s="46"/>
      <c r="GN100" s="46"/>
      <c r="GO100" s="46"/>
      <c r="GP100" s="46"/>
      <c r="GQ100" s="46"/>
      <c r="GR100" s="46"/>
      <c r="GS100" s="46"/>
      <c r="GT100" s="46"/>
      <c r="GU100" s="46"/>
      <c r="GV100" s="46"/>
      <c r="GW100" s="46"/>
      <c r="GX100" s="46"/>
      <c r="GY100" s="46"/>
      <c r="GZ100" s="46"/>
      <c r="HA100" s="46"/>
      <c r="HB100" s="46"/>
      <c r="HC100" s="46"/>
      <c r="HD100" s="46"/>
      <c r="HE100" s="46"/>
      <c r="HF100" s="46"/>
      <c r="HG100" s="46"/>
      <c r="HH100" s="46"/>
      <c r="HI100" s="46"/>
      <c r="HJ100" s="46"/>
      <c r="HK100" s="46"/>
      <c r="HL100" s="46"/>
      <c r="HM100" s="46"/>
      <c r="HN100" s="46"/>
      <c r="HO100" s="46"/>
      <c r="HP100" s="46"/>
      <c r="HQ100" s="46"/>
      <c r="HR100" s="46"/>
      <c r="HS100" s="46"/>
      <c r="HT100" s="46"/>
      <c r="HU100" s="46"/>
      <c r="HV100" s="46"/>
      <c r="HW100" s="46"/>
      <c r="HX100" s="46"/>
      <c r="HY100" s="46"/>
      <c r="HZ100" s="46"/>
      <c r="IA100" s="46"/>
      <c r="IB100" s="46"/>
      <c r="IC100" s="46"/>
      <c r="ID100" s="46"/>
      <c r="IE100" s="46"/>
      <c r="IF100" s="46"/>
      <c r="IG100" s="46"/>
      <c r="IH100" s="46"/>
      <c r="II100" s="46"/>
      <c r="IJ100" s="46"/>
      <c r="IK100" s="46"/>
      <c r="IL100" s="46"/>
      <c r="IM100" s="46"/>
      <c r="IN100" s="46"/>
      <c r="IO100" s="46"/>
      <c r="IP100" s="46"/>
      <c r="IQ100" s="46"/>
      <c r="IR100" s="46"/>
      <c r="IS100" s="46"/>
      <c r="IT100" s="46"/>
      <c r="IU100" s="46"/>
      <c r="IV100" s="46"/>
      <c r="IW100" s="46"/>
      <c r="IX100" s="46"/>
      <c r="IY100" s="46"/>
      <c r="IZ100" s="46"/>
      <c r="JA100" s="46"/>
      <c r="JB100" s="46"/>
      <c r="JC100" s="46"/>
      <c r="JD100" s="46"/>
      <c r="JE100" s="46"/>
      <c r="JF100" s="46"/>
      <c r="JG100" s="46"/>
      <c r="JH100" s="46"/>
      <c r="JI100" s="46"/>
      <c r="JJ100" s="46"/>
      <c r="JK100" s="46"/>
      <c r="JL100" s="46"/>
      <c r="JM100" s="46"/>
      <c r="JN100" s="46"/>
      <c r="JO100" s="46"/>
      <c r="JP100" s="46"/>
      <c r="JQ100" s="46"/>
      <c r="JR100" s="46"/>
      <c r="JS100" s="46"/>
      <c r="JT100" s="46"/>
      <c r="JU100" s="46"/>
      <c r="JV100" s="46"/>
      <c r="JW100" s="46"/>
      <c r="JX100" s="46"/>
      <c r="JY100" s="46"/>
      <c r="JZ100" s="46"/>
      <c r="KA100" s="46"/>
      <c r="KB100" s="46"/>
      <c r="KC100" s="46"/>
      <c r="KD100" s="46"/>
      <c r="KE100" s="46"/>
      <c r="KF100" s="46"/>
      <c r="KG100" s="46"/>
      <c r="KH100" s="46"/>
      <c r="KI100" s="46"/>
      <c r="KJ100" s="46"/>
      <c r="KK100" s="46"/>
      <c r="KL100" s="46"/>
      <c r="KM100" s="46"/>
      <c r="KN100" s="46"/>
      <c r="KO100" s="46"/>
      <c r="KP100" s="46"/>
      <c r="KQ100" s="46"/>
      <c r="KR100" s="46"/>
      <c r="KS100" s="46"/>
      <c r="KT100" s="46"/>
      <c r="KU100" s="46"/>
      <c r="KV100" s="46"/>
      <c r="KW100" s="46"/>
      <c r="KX100" s="46"/>
      <c r="KY100" s="46"/>
      <c r="KZ100" s="46"/>
      <c r="LA100" s="46"/>
      <c r="LB100" s="46"/>
      <c r="LC100" s="46"/>
      <c r="LD100" s="46"/>
      <c r="LE100" s="46"/>
      <c r="LF100" s="46"/>
      <c r="LG100" s="46"/>
      <c r="LH100" s="46"/>
      <c r="LI100" s="46"/>
      <c r="LJ100" s="46"/>
      <c r="LK100" s="46"/>
      <c r="LL100" s="46"/>
      <c r="LM100" s="46"/>
      <c r="LN100" s="46"/>
      <c r="LO100" s="46"/>
      <c r="LP100" s="46"/>
      <c r="LQ100" s="46"/>
      <c r="LR100" s="46"/>
      <c r="LS100" s="46"/>
      <c r="LT100" s="46"/>
      <c r="LU100" s="46"/>
      <c r="LV100" s="46"/>
      <c r="LW100" s="46"/>
      <c r="LX100" s="46"/>
      <c r="LY100" s="46"/>
      <c r="LZ100" s="46"/>
      <c r="MA100" s="46"/>
      <c r="MB100" s="46"/>
      <c r="MC100" s="46"/>
      <c r="MD100" s="46"/>
      <c r="ME100" s="46"/>
      <c r="MF100" s="46"/>
      <c r="MG100" s="46"/>
      <c r="MH100" s="46"/>
      <c r="MI100" s="46"/>
      <c r="MJ100" s="46"/>
      <c r="MK100" s="46"/>
      <c r="ML100" s="46"/>
      <c r="MM100" s="46"/>
      <c r="MN100" s="46"/>
      <c r="MO100" s="46"/>
      <c r="MP100" s="46"/>
      <c r="MQ100" s="46"/>
      <c r="MR100" s="46"/>
      <c r="MS100" s="46"/>
      <c r="MT100" s="46"/>
      <c r="MU100" s="46"/>
      <c r="MV100" s="46"/>
      <c r="MW100" s="46"/>
      <c r="MX100" s="46"/>
      <c r="MY100" s="46"/>
      <c r="MZ100" s="46"/>
      <c r="NA100" s="46"/>
      <c r="NB100" s="46"/>
      <c r="NC100" s="46"/>
      <c r="ND100" s="46"/>
      <c r="NE100" s="46"/>
      <c r="NF100" s="46"/>
      <c r="NG100" s="46"/>
      <c r="NH100" s="46"/>
      <c r="NI100" s="46"/>
      <c r="NJ100" s="46"/>
      <c r="NK100" s="46"/>
      <c r="NL100" s="46"/>
      <c r="NM100" s="46"/>
      <c r="NN100" s="46"/>
      <c r="NO100" s="46"/>
      <c r="NP100" s="46"/>
      <c r="NQ100" s="46"/>
      <c r="NR100" s="46"/>
      <c r="NS100" s="46"/>
      <c r="NT100" s="46"/>
      <c r="NU100" s="46"/>
      <c r="NV100" s="46"/>
      <c r="NW100" s="46"/>
      <c r="NX100" s="46"/>
      <c r="NY100" s="46"/>
      <c r="NZ100" s="46"/>
      <c r="OA100" s="46"/>
      <c r="OB100" s="46"/>
      <c r="OC100" s="46"/>
      <c r="OD100" s="46"/>
      <c r="OE100" s="46"/>
      <c r="OF100" s="46"/>
      <c r="OG100" s="46"/>
      <c r="OH100" s="46"/>
      <c r="OI100" s="46"/>
      <c r="OJ100" s="46"/>
      <c r="OK100" s="46"/>
      <c r="OL100" s="46"/>
      <c r="OM100" s="46"/>
      <c r="ON100" s="46"/>
      <c r="OO100" s="46"/>
      <c r="OP100" s="46"/>
      <c r="OQ100" s="46"/>
      <c r="OR100" s="46"/>
      <c r="OS100" s="46"/>
      <c r="OT100" s="46"/>
      <c r="OU100" s="46"/>
      <c r="OV100" s="46"/>
      <c r="OW100" s="46"/>
      <c r="OX100" s="46"/>
      <c r="OY100" s="46"/>
      <c r="OZ100" s="46"/>
      <c r="PA100" s="46"/>
      <c r="PB100" s="46"/>
      <c r="PC100" s="46"/>
      <c r="PD100" s="46"/>
      <c r="PE100" s="46"/>
      <c r="PF100" s="46"/>
      <c r="PG100" s="46"/>
      <c r="PH100" s="46"/>
      <c r="PI100" s="46"/>
      <c r="PJ100" s="46"/>
      <c r="PK100" s="46"/>
      <c r="PL100" s="46"/>
      <c r="PM100" s="46"/>
      <c r="PN100" s="46"/>
      <c r="PO100" s="46"/>
      <c r="PP100" s="46"/>
      <c r="PQ100" s="46"/>
      <c r="PR100" s="46"/>
      <c r="PS100" s="46"/>
      <c r="PT100" s="46"/>
      <c r="PU100" s="46"/>
      <c r="PV100" s="46"/>
      <c r="PW100" s="46"/>
      <c r="PX100" s="46"/>
      <c r="PY100" s="46"/>
      <c r="PZ100" s="46"/>
      <c r="QA100" s="46"/>
      <c r="QB100" s="46"/>
      <c r="QC100" s="46"/>
      <c r="QD100" s="46"/>
      <c r="QE100" s="46"/>
      <c r="QF100" s="46"/>
      <c r="QG100" s="46"/>
      <c r="QH100" s="46"/>
      <c r="QI100" s="46"/>
      <c r="QJ100" s="46"/>
      <c r="QK100" s="46"/>
      <c r="QL100" s="46"/>
      <c r="QM100" s="46"/>
      <c r="QN100" s="46"/>
      <c r="QO100" s="46"/>
      <c r="QP100" s="46"/>
      <c r="QQ100" s="46"/>
      <c r="QR100" s="46"/>
      <c r="QS100" s="46"/>
      <c r="QT100" s="46"/>
      <c r="QU100" s="46"/>
      <c r="QV100" s="46"/>
      <c r="QW100" s="46"/>
      <c r="QX100" s="46"/>
      <c r="QY100" s="46"/>
      <c r="QZ100" s="46"/>
      <c r="RA100" s="46"/>
      <c r="RB100" s="46"/>
      <c r="RC100" s="46"/>
      <c r="RD100" s="46"/>
      <c r="RE100" s="46"/>
      <c r="RF100" s="46"/>
      <c r="RG100" s="46"/>
      <c r="RH100" s="46"/>
      <c r="RI100" s="46"/>
      <c r="RJ100" s="46"/>
      <c r="RK100" s="46"/>
      <c r="RL100" s="46"/>
      <c r="RM100" s="46"/>
      <c r="RN100" s="46"/>
      <c r="RO100" s="46"/>
      <c r="RP100" s="46"/>
      <c r="RQ100" s="46"/>
      <c r="RR100" s="46"/>
      <c r="RS100" s="46"/>
      <c r="RT100" s="46"/>
      <c r="RU100" s="46"/>
      <c r="RV100" s="46"/>
      <c r="RW100" s="46"/>
      <c r="RX100" s="46"/>
      <c r="RY100" s="46"/>
      <c r="RZ100" s="46"/>
      <c r="SA100" s="46"/>
      <c r="SB100" s="46"/>
      <c r="SC100" s="46"/>
      <c r="SD100" s="46"/>
      <c r="SE100" s="46"/>
      <c r="SF100" s="46"/>
      <c r="SG100" s="46"/>
      <c r="SH100" s="46"/>
      <c r="SI100" s="46"/>
      <c r="SJ100" s="46"/>
      <c r="SK100" s="46"/>
      <c r="SL100" s="46"/>
      <c r="SM100" s="46"/>
      <c r="SN100" s="46"/>
      <c r="SO100" s="46"/>
      <c r="SP100" s="46"/>
      <c r="SQ100" s="46"/>
      <c r="SR100" s="46"/>
      <c r="SS100" s="46"/>
      <c r="ST100" s="46"/>
      <c r="SU100" s="46"/>
      <c r="SV100" s="46"/>
      <c r="SW100" s="46"/>
      <c r="SX100" s="46"/>
      <c r="SY100" s="46"/>
      <c r="SZ100" s="46"/>
      <c r="TA100" s="46"/>
      <c r="TB100" s="46"/>
      <c r="TC100" s="46"/>
      <c r="TD100" s="46"/>
      <c r="TE100" s="46"/>
      <c r="TF100" s="46"/>
      <c r="TG100" s="46"/>
      <c r="TH100" s="46"/>
      <c r="TI100" s="46"/>
      <c r="TJ100" s="46"/>
      <c r="TK100" s="46"/>
      <c r="TL100" s="46"/>
      <c r="TM100" s="46"/>
      <c r="TN100" s="46"/>
      <c r="TO100" s="46"/>
      <c r="TP100" s="46"/>
      <c r="TQ100" s="46"/>
      <c r="TR100" s="46"/>
      <c r="TS100" s="46"/>
      <c r="TT100" s="46"/>
      <c r="TU100" s="46"/>
      <c r="TV100" s="46"/>
      <c r="TW100" s="46"/>
      <c r="TX100" s="46"/>
      <c r="TY100" s="46"/>
      <c r="TZ100" s="46"/>
      <c r="UA100" s="46"/>
      <c r="UB100" s="46"/>
      <c r="UC100" s="46"/>
      <c r="UD100" s="46"/>
      <c r="UE100" s="46"/>
      <c r="UF100" s="46"/>
      <c r="UG100" s="46"/>
      <c r="UH100" s="46"/>
      <c r="UI100" s="46"/>
      <c r="UJ100" s="46"/>
      <c r="UK100" s="46"/>
      <c r="UL100" s="46"/>
      <c r="UM100" s="46"/>
      <c r="UN100" s="46"/>
      <c r="UO100" s="46"/>
      <c r="UP100" s="46"/>
      <c r="UQ100" s="46"/>
      <c r="UR100" s="46"/>
      <c r="US100" s="46"/>
      <c r="UT100" s="46"/>
      <c r="UU100" s="46"/>
      <c r="UV100" s="46"/>
      <c r="UW100" s="46"/>
      <c r="UX100" s="46"/>
      <c r="UY100" s="46"/>
      <c r="UZ100" s="46"/>
      <c r="VA100" s="46"/>
      <c r="VB100" s="46"/>
      <c r="VC100" s="46"/>
      <c r="VD100" s="46"/>
      <c r="VE100" s="46"/>
      <c r="VF100" s="46"/>
      <c r="VG100" s="46"/>
      <c r="VH100" s="46"/>
      <c r="VI100" s="46"/>
      <c r="VJ100" s="46"/>
      <c r="VK100" s="46"/>
      <c r="VL100" s="46"/>
      <c r="VM100" s="46"/>
      <c r="VN100" s="46"/>
      <c r="VO100" s="46"/>
      <c r="VP100" s="46"/>
      <c r="VQ100" s="46"/>
      <c r="VR100" s="46"/>
      <c r="VS100" s="46"/>
      <c r="VT100" s="46"/>
      <c r="VU100" s="46"/>
      <c r="VV100" s="46"/>
      <c r="VW100" s="46"/>
      <c r="VX100" s="46"/>
      <c r="VY100" s="46"/>
      <c r="VZ100" s="46"/>
      <c r="WA100" s="46"/>
      <c r="WB100" s="46"/>
      <c r="WC100" s="46"/>
      <c r="WD100" s="46"/>
      <c r="WE100" s="46"/>
      <c r="WF100" s="46"/>
      <c r="WG100" s="46"/>
      <c r="WH100" s="46"/>
      <c r="WI100" s="46"/>
      <c r="WJ100" s="46"/>
      <c r="WK100" s="46"/>
      <c r="WL100" s="46"/>
      <c r="WM100" s="46"/>
      <c r="WN100" s="46"/>
      <c r="WO100" s="46"/>
      <c r="WP100" s="46"/>
      <c r="WQ100" s="46"/>
      <c r="WR100" s="46"/>
      <c r="WS100" s="46"/>
      <c r="WT100" s="46"/>
      <c r="WU100" s="46"/>
      <c r="WV100" s="46"/>
      <c r="WW100" s="46"/>
      <c r="WX100" s="46"/>
      <c r="WY100" s="46"/>
      <c r="WZ100" s="46"/>
      <c r="XA100" s="46"/>
      <c r="XB100" s="46"/>
      <c r="XC100" s="46"/>
      <c r="XD100" s="46"/>
      <c r="XE100" s="46"/>
      <c r="XF100" s="46"/>
      <c r="XG100" s="46"/>
      <c r="XH100" s="46"/>
      <c r="XI100" s="46"/>
      <c r="XJ100" s="46"/>
      <c r="XK100" s="46"/>
      <c r="XL100" s="46"/>
      <c r="XM100" s="46"/>
      <c r="XN100" s="46"/>
      <c r="XO100" s="46"/>
      <c r="XP100" s="46"/>
      <c r="XQ100" s="46"/>
      <c r="XR100" s="46"/>
      <c r="XS100" s="46"/>
      <c r="XT100" s="46"/>
      <c r="XU100" s="46"/>
      <c r="XV100" s="46"/>
      <c r="XW100" s="46"/>
      <c r="XX100" s="46"/>
      <c r="XY100" s="46"/>
      <c r="XZ100" s="46"/>
      <c r="YA100" s="46"/>
      <c r="YB100" s="46"/>
      <c r="YC100" s="46"/>
      <c r="YD100" s="46"/>
      <c r="YE100" s="46"/>
      <c r="YF100" s="46"/>
      <c r="YG100" s="46"/>
      <c r="YH100" s="46"/>
      <c r="YI100" s="46"/>
      <c r="YJ100" s="46"/>
      <c r="YK100" s="46"/>
      <c r="YL100" s="46"/>
      <c r="YM100" s="46"/>
      <c r="YN100" s="46"/>
      <c r="YO100" s="46"/>
      <c r="YP100" s="46"/>
      <c r="YQ100" s="46"/>
      <c r="YR100" s="46"/>
      <c r="YS100" s="46"/>
      <c r="YT100" s="46"/>
      <c r="YU100" s="46"/>
      <c r="YV100" s="46"/>
      <c r="YW100" s="46"/>
      <c r="YX100" s="46"/>
      <c r="YY100" s="46"/>
      <c r="YZ100" s="46"/>
      <c r="ZA100" s="46"/>
      <c r="ZB100" s="46"/>
      <c r="ZC100" s="46"/>
      <c r="ZD100" s="46"/>
      <c r="ZE100" s="46"/>
      <c r="ZF100" s="46"/>
      <c r="ZG100" s="46"/>
      <c r="ZH100" s="46"/>
      <c r="ZI100" s="46"/>
      <c r="ZJ100" s="46"/>
      <c r="ZK100" s="46"/>
      <c r="ZL100" s="46"/>
      <c r="ZM100" s="46"/>
      <c r="ZN100" s="46"/>
      <c r="ZO100" s="46"/>
      <c r="ZP100" s="46"/>
      <c r="ZQ100" s="46"/>
      <c r="ZR100" s="46"/>
      <c r="ZS100" s="46"/>
      <c r="ZT100" s="46"/>
      <c r="ZU100" s="46"/>
      <c r="ZV100" s="46"/>
      <c r="ZW100" s="46"/>
      <c r="ZX100" s="46"/>
      <c r="ZY100" s="46"/>
      <c r="ZZ100" s="46"/>
      <c r="AAA100" s="46"/>
      <c r="AAB100" s="46"/>
      <c r="AAC100" s="46"/>
      <c r="AAD100" s="46"/>
      <c r="AAE100" s="46"/>
      <c r="AAF100" s="46"/>
      <c r="AAG100" s="46"/>
      <c r="AAH100" s="46"/>
      <c r="AAI100" s="46"/>
      <c r="AAJ100" s="46"/>
      <c r="AAK100" s="46"/>
      <c r="AAL100" s="46"/>
      <c r="AAM100" s="46"/>
      <c r="AAN100" s="46"/>
      <c r="AAO100" s="46"/>
      <c r="AAP100" s="46"/>
      <c r="AAQ100" s="46"/>
      <c r="AAR100" s="46"/>
      <c r="AAS100" s="46"/>
      <c r="AAT100" s="46"/>
      <c r="AAU100" s="46"/>
      <c r="AAV100" s="46"/>
    </row>
    <row r="101" spans="1:724" s="60" customFormat="1" ht="21" customHeight="1">
      <c r="A101" s="28">
        <v>3</v>
      </c>
      <c r="B101" s="58">
        <v>5204251</v>
      </c>
      <c r="C101" s="27" t="s">
        <v>99</v>
      </c>
      <c r="D101" s="78" t="s">
        <v>118</v>
      </c>
      <c r="E101" s="62">
        <v>1</v>
      </c>
      <c r="F101" s="31">
        <f>VLOOKUP(B101,'Estampados por manguera'!A$2:B$500,2,FALSE)</f>
        <v>1</v>
      </c>
      <c r="G101" s="31">
        <f t="shared" si="73"/>
        <v>1</v>
      </c>
      <c r="H101" s="20">
        <v>6</v>
      </c>
      <c r="I101" s="29">
        <f t="shared" si="74"/>
        <v>6</v>
      </c>
      <c r="J101" s="32">
        <f t="shared" si="75"/>
        <v>180</v>
      </c>
      <c r="K101" s="31">
        <f t="shared" si="76"/>
        <v>186</v>
      </c>
      <c r="L101" s="11">
        <v>1200</v>
      </c>
      <c r="M101" s="31">
        <f>VLOOKUP(B101,'Mangueras por contenedor'!A$2:B$500,2,FALSE)</f>
        <v>38</v>
      </c>
      <c r="N101" s="35">
        <f t="shared" si="77"/>
        <v>2.6315789473684209E-2</v>
      </c>
      <c r="O101" s="11">
        <f t="shared" si="78"/>
        <v>31</v>
      </c>
      <c r="P101" s="11">
        <f t="shared" si="79"/>
        <v>228</v>
      </c>
      <c r="Q101" s="11">
        <v>1</v>
      </c>
      <c r="R101" s="32">
        <f t="shared" si="81"/>
        <v>228</v>
      </c>
      <c r="S101" s="32">
        <f t="shared" si="82"/>
        <v>31</v>
      </c>
      <c r="T101" s="32">
        <f t="shared" si="83"/>
        <v>38</v>
      </c>
      <c r="U101" s="59" t="str">
        <f t="shared" si="98"/>
        <v/>
      </c>
      <c r="V101" s="59" t="str">
        <f t="shared" si="98"/>
        <v/>
      </c>
      <c r="W101" s="59" t="str">
        <f t="shared" si="98"/>
        <v/>
      </c>
      <c r="X101" s="59" t="str">
        <f t="shared" si="98"/>
        <v/>
      </c>
      <c r="Y101" s="59" t="str">
        <f t="shared" si="98"/>
        <v/>
      </c>
      <c r="Z101" s="59" t="str">
        <f t="shared" si="98"/>
        <v/>
      </c>
      <c r="AA101" s="59" t="str">
        <f t="shared" si="98"/>
        <v/>
      </c>
      <c r="AB101" s="59" t="str">
        <f t="shared" si="98"/>
        <v/>
      </c>
      <c r="AC101" s="59" t="str">
        <f t="shared" si="98"/>
        <v/>
      </c>
      <c r="AD101" s="59" t="str">
        <f t="shared" si="98"/>
        <v/>
      </c>
      <c r="AE101" s="59" t="str">
        <f t="shared" si="99"/>
        <v/>
      </c>
      <c r="AF101" s="59" t="str">
        <f t="shared" si="99"/>
        <v/>
      </c>
      <c r="AG101" s="59" t="str">
        <f t="shared" si="99"/>
        <v/>
      </c>
      <c r="AH101" s="67" t="str">
        <f t="shared" si="99"/>
        <v/>
      </c>
      <c r="AI101" s="67" t="str">
        <f t="shared" si="99"/>
        <v/>
      </c>
      <c r="AJ101" s="67" t="str">
        <f t="shared" si="99"/>
        <v/>
      </c>
      <c r="AK101" s="67" t="str">
        <f t="shared" si="99"/>
        <v/>
      </c>
      <c r="AL101" s="67" t="str">
        <f t="shared" si="99"/>
        <v/>
      </c>
      <c r="AM101" s="67" t="str">
        <f t="shared" si="99"/>
        <v/>
      </c>
      <c r="AN101" s="67" t="str">
        <f t="shared" si="99"/>
        <v/>
      </c>
      <c r="AO101" s="67" t="str">
        <f t="shared" si="99"/>
        <v/>
      </c>
      <c r="AP101" s="67" t="str">
        <f t="shared" si="99"/>
        <v/>
      </c>
      <c r="AQ101" s="67" t="str">
        <f t="shared" si="97"/>
        <v/>
      </c>
      <c r="AR101" s="67" t="str">
        <f t="shared" si="97"/>
        <v/>
      </c>
      <c r="AS101" s="67" t="str">
        <f t="shared" si="96"/>
        <v/>
      </c>
      <c r="AT101" s="67" t="str">
        <f t="shared" si="96"/>
        <v/>
      </c>
      <c r="AU101" s="68" t="str">
        <f t="shared" si="96"/>
        <v/>
      </c>
      <c r="AV101" s="68" t="str">
        <f t="shared" si="96"/>
        <v/>
      </c>
      <c r="AW101" s="68" t="str">
        <f t="shared" si="93"/>
        <v/>
      </c>
      <c r="AX101" s="68" t="str">
        <f t="shared" si="93"/>
        <v/>
      </c>
      <c r="AY101" s="68" t="str">
        <f t="shared" si="92"/>
        <v>X</v>
      </c>
      <c r="AZ101" s="68" t="str">
        <f t="shared" si="88"/>
        <v/>
      </c>
      <c r="BA101" s="68" t="str">
        <f t="shared" si="88"/>
        <v/>
      </c>
    </row>
    <row r="102" spans="1:724" s="60" customFormat="1" ht="21" customHeight="1">
      <c r="A102" s="44">
        <v>3</v>
      </c>
      <c r="B102" s="58">
        <v>5305209</v>
      </c>
      <c r="C102" s="27" t="s">
        <v>166</v>
      </c>
      <c r="D102" s="78" t="s">
        <v>50</v>
      </c>
      <c r="E102" s="62">
        <v>1</v>
      </c>
      <c r="F102" s="30">
        <f>VLOOKUP(B102,'Estampados por manguera'!A$2:B$500,2,FALSE)</f>
        <v>1</v>
      </c>
      <c r="G102" s="30">
        <f t="shared" si="73"/>
        <v>1</v>
      </c>
      <c r="H102" s="32">
        <v>6</v>
      </c>
      <c r="I102" s="30">
        <f t="shared" si="74"/>
        <v>6</v>
      </c>
      <c r="J102" s="32">
        <f t="shared" si="75"/>
        <v>180</v>
      </c>
      <c r="K102" s="30">
        <f t="shared" si="76"/>
        <v>186</v>
      </c>
      <c r="L102" s="32">
        <v>1200</v>
      </c>
      <c r="M102" s="30">
        <f>VLOOKUP(B102,'Mangueras por contenedor'!A$2:B$500,2,FALSE)</f>
        <v>80</v>
      </c>
      <c r="N102" s="45">
        <f t="shared" si="77"/>
        <v>1.2500000000000001E-2</v>
      </c>
      <c r="O102" s="11">
        <f t="shared" si="78"/>
        <v>33</v>
      </c>
      <c r="P102" s="32">
        <f t="shared" si="79"/>
        <v>480</v>
      </c>
      <c r="Q102" s="11">
        <v>1</v>
      </c>
      <c r="R102" s="32">
        <f t="shared" si="81"/>
        <v>480</v>
      </c>
      <c r="S102" s="32">
        <f t="shared" si="82"/>
        <v>33</v>
      </c>
      <c r="T102" s="32">
        <f t="shared" si="83"/>
        <v>80</v>
      </c>
      <c r="U102" s="59" t="str">
        <f t="shared" si="98"/>
        <v/>
      </c>
      <c r="V102" s="59" t="str">
        <f t="shared" si="98"/>
        <v/>
      </c>
      <c r="W102" s="59" t="str">
        <f t="shared" si="98"/>
        <v/>
      </c>
      <c r="X102" s="59" t="str">
        <f t="shared" si="98"/>
        <v/>
      </c>
      <c r="Y102" s="59" t="str">
        <f t="shared" si="98"/>
        <v/>
      </c>
      <c r="Z102" s="59" t="str">
        <f t="shared" si="98"/>
        <v/>
      </c>
      <c r="AA102" s="59" t="str">
        <f t="shared" si="98"/>
        <v/>
      </c>
      <c r="AB102" s="59" t="str">
        <f t="shared" si="98"/>
        <v/>
      </c>
      <c r="AC102" s="59" t="str">
        <f t="shared" si="98"/>
        <v/>
      </c>
      <c r="AD102" s="59" t="str">
        <f t="shared" si="98"/>
        <v/>
      </c>
      <c r="AE102" s="59" t="str">
        <f t="shared" si="99"/>
        <v/>
      </c>
      <c r="AF102" s="59" t="str">
        <f t="shared" si="99"/>
        <v/>
      </c>
      <c r="AG102" s="59" t="str">
        <f t="shared" si="99"/>
        <v/>
      </c>
      <c r="AH102" s="67" t="str">
        <f t="shared" si="99"/>
        <v/>
      </c>
      <c r="AI102" s="67" t="str">
        <f t="shared" si="99"/>
        <v/>
      </c>
      <c r="AJ102" s="67" t="str">
        <f t="shared" si="99"/>
        <v/>
      </c>
      <c r="AK102" s="67" t="str">
        <f t="shared" si="99"/>
        <v/>
      </c>
      <c r="AL102" s="67" t="str">
        <f t="shared" si="99"/>
        <v/>
      </c>
      <c r="AM102" s="67" t="str">
        <f t="shared" si="99"/>
        <v/>
      </c>
      <c r="AN102" s="67" t="str">
        <f t="shared" si="99"/>
        <v/>
      </c>
      <c r="AO102" s="67" t="str">
        <f t="shared" si="99"/>
        <v/>
      </c>
      <c r="AP102" s="67" t="str">
        <f t="shared" si="99"/>
        <v/>
      </c>
      <c r="AQ102" s="67" t="str">
        <f t="shared" si="97"/>
        <v/>
      </c>
      <c r="AR102" s="67" t="str">
        <f t="shared" si="97"/>
        <v/>
      </c>
      <c r="AS102" s="67" t="str">
        <f t="shared" si="96"/>
        <v/>
      </c>
      <c r="AT102" s="67" t="str">
        <f t="shared" si="96"/>
        <v/>
      </c>
      <c r="AU102" s="68" t="str">
        <f t="shared" si="96"/>
        <v/>
      </c>
      <c r="AV102" s="68" t="str">
        <f t="shared" si="96"/>
        <v/>
      </c>
      <c r="AW102" s="68" t="str">
        <f t="shared" si="93"/>
        <v/>
      </c>
      <c r="AX102" s="68" t="str">
        <f t="shared" si="93"/>
        <v/>
      </c>
      <c r="AY102" s="68" t="str">
        <f t="shared" si="92"/>
        <v/>
      </c>
      <c r="AZ102" s="68" t="str">
        <f t="shared" si="88"/>
        <v/>
      </c>
      <c r="BA102" s="68" t="str">
        <f t="shared" si="88"/>
        <v>X</v>
      </c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  <c r="DW102" s="46"/>
      <c r="DX102" s="46"/>
      <c r="DY102" s="46"/>
      <c r="DZ102" s="46"/>
      <c r="EA102" s="46"/>
      <c r="EB102" s="46"/>
      <c r="EC102" s="46"/>
      <c r="ED102" s="46"/>
      <c r="EE102" s="46"/>
      <c r="EF102" s="46"/>
      <c r="EG102" s="46"/>
      <c r="EH102" s="46"/>
      <c r="EI102" s="46"/>
      <c r="EJ102" s="46"/>
      <c r="EK102" s="46"/>
      <c r="EL102" s="46"/>
      <c r="EM102" s="46"/>
      <c r="EN102" s="46"/>
      <c r="EO102" s="46"/>
      <c r="EP102" s="46"/>
      <c r="EQ102" s="46"/>
      <c r="ER102" s="46"/>
      <c r="ES102" s="46"/>
      <c r="ET102" s="46"/>
      <c r="EU102" s="46"/>
      <c r="EV102" s="46"/>
      <c r="EW102" s="46"/>
      <c r="EX102" s="46"/>
      <c r="EY102" s="46"/>
      <c r="EZ102" s="46"/>
      <c r="FA102" s="46"/>
      <c r="FB102" s="46"/>
      <c r="FC102" s="46"/>
      <c r="FD102" s="46"/>
      <c r="FE102" s="46"/>
      <c r="FF102" s="46"/>
      <c r="FG102" s="46"/>
      <c r="FH102" s="46"/>
      <c r="FI102" s="46"/>
      <c r="FJ102" s="46"/>
      <c r="FK102" s="46"/>
      <c r="FL102" s="46"/>
      <c r="FM102" s="46"/>
      <c r="FN102" s="46"/>
      <c r="FO102" s="46"/>
      <c r="FP102" s="46"/>
      <c r="FQ102" s="46"/>
      <c r="FR102" s="46"/>
      <c r="FS102" s="46"/>
      <c r="FT102" s="46"/>
      <c r="FU102" s="46"/>
      <c r="FV102" s="46"/>
      <c r="FW102" s="46"/>
      <c r="FX102" s="46"/>
      <c r="FY102" s="46"/>
      <c r="FZ102" s="46"/>
      <c r="GA102" s="46"/>
      <c r="GB102" s="46"/>
      <c r="GC102" s="46"/>
      <c r="GD102" s="46"/>
      <c r="GE102" s="46"/>
      <c r="GF102" s="46"/>
      <c r="GG102" s="46"/>
      <c r="GH102" s="46"/>
      <c r="GI102" s="46"/>
      <c r="GJ102" s="46"/>
      <c r="GK102" s="46"/>
      <c r="GL102" s="46"/>
      <c r="GM102" s="46"/>
      <c r="GN102" s="46"/>
      <c r="GO102" s="46"/>
      <c r="GP102" s="46"/>
      <c r="GQ102" s="46"/>
      <c r="GR102" s="46"/>
      <c r="GS102" s="46"/>
      <c r="GT102" s="46"/>
      <c r="GU102" s="46"/>
      <c r="GV102" s="46"/>
      <c r="GW102" s="46"/>
      <c r="GX102" s="46"/>
      <c r="GY102" s="46"/>
      <c r="GZ102" s="46"/>
      <c r="HA102" s="46"/>
      <c r="HB102" s="46"/>
      <c r="HC102" s="46"/>
      <c r="HD102" s="46"/>
      <c r="HE102" s="46"/>
      <c r="HF102" s="46"/>
      <c r="HG102" s="46"/>
      <c r="HH102" s="46"/>
      <c r="HI102" s="46"/>
      <c r="HJ102" s="46"/>
      <c r="HK102" s="46"/>
      <c r="HL102" s="46"/>
      <c r="HM102" s="46"/>
      <c r="HN102" s="46"/>
      <c r="HO102" s="46"/>
      <c r="HP102" s="46"/>
      <c r="HQ102" s="46"/>
      <c r="HR102" s="46"/>
      <c r="HS102" s="46"/>
      <c r="HT102" s="46"/>
      <c r="HU102" s="46"/>
      <c r="HV102" s="46"/>
      <c r="HW102" s="46"/>
      <c r="HX102" s="46"/>
      <c r="HY102" s="46"/>
      <c r="HZ102" s="46"/>
      <c r="IA102" s="46"/>
      <c r="IB102" s="46"/>
      <c r="IC102" s="46"/>
      <c r="ID102" s="46"/>
      <c r="IE102" s="46"/>
      <c r="IF102" s="46"/>
      <c r="IG102" s="46"/>
      <c r="IH102" s="46"/>
      <c r="II102" s="46"/>
      <c r="IJ102" s="46"/>
      <c r="IK102" s="46"/>
      <c r="IL102" s="46"/>
      <c r="IM102" s="46"/>
      <c r="IN102" s="46"/>
      <c r="IO102" s="46"/>
      <c r="IP102" s="46"/>
      <c r="IQ102" s="46"/>
      <c r="IR102" s="46"/>
      <c r="IS102" s="46"/>
      <c r="IT102" s="46"/>
      <c r="IU102" s="46"/>
      <c r="IV102" s="46"/>
      <c r="IW102" s="46"/>
      <c r="IX102" s="46"/>
      <c r="IY102" s="46"/>
      <c r="IZ102" s="46"/>
      <c r="JA102" s="46"/>
      <c r="JB102" s="46"/>
      <c r="JC102" s="46"/>
      <c r="JD102" s="46"/>
      <c r="JE102" s="46"/>
      <c r="JF102" s="46"/>
      <c r="JG102" s="46"/>
      <c r="JH102" s="46"/>
      <c r="JI102" s="46"/>
      <c r="JJ102" s="46"/>
      <c r="JK102" s="46"/>
      <c r="JL102" s="46"/>
      <c r="JM102" s="46"/>
      <c r="JN102" s="46"/>
      <c r="JO102" s="46"/>
      <c r="JP102" s="46"/>
      <c r="JQ102" s="46"/>
      <c r="JR102" s="46"/>
      <c r="JS102" s="46"/>
      <c r="JT102" s="46"/>
      <c r="JU102" s="46"/>
      <c r="JV102" s="46"/>
      <c r="JW102" s="46"/>
      <c r="JX102" s="46"/>
      <c r="JY102" s="46"/>
      <c r="JZ102" s="46"/>
      <c r="KA102" s="46"/>
      <c r="KB102" s="46"/>
      <c r="KC102" s="46"/>
      <c r="KD102" s="46"/>
      <c r="KE102" s="46"/>
      <c r="KF102" s="46"/>
      <c r="KG102" s="46"/>
      <c r="KH102" s="46"/>
      <c r="KI102" s="46"/>
      <c r="KJ102" s="46"/>
      <c r="KK102" s="46"/>
      <c r="KL102" s="46"/>
      <c r="KM102" s="46"/>
      <c r="KN102" s="46"/>
      <c r="KO102" s="46"/>
      <c r="KP102" s="46"/>
      <c r="KQ102" s="46"/>
      <c r="KR102" s="46"/>
      <c r="KS102" s="46"/>
      <c r="KT102" s="46"/>
      <c r="KU102" s="46"/>
      <c r="KV102" s="46"/>
      <c r="KW102" s="46"/>
      <c r="KX102" s="46"/>
      <c r="KY102" s="46"/>
      <c r="KZ102" s="46"/>
      <c r="LA102" s="46"/>
      <c r="LB102" s="46"/>
      <c r="LC102" s="46"/>
      <c r="LD102" s="46"/>
      <c r="LE102" s="46"/>
      <c r="LF102" s="46"/>
      <c r="LG102" s="46"/>
      <c r="LH102" s="46"/>
      <c r="LI102" s="46"/>
      <c r="LJ102" s="46"/>
      <c r="LK102" s="46"/>
      <c r="LL102" s="46"/>
      <c r="LM102" s="46"/>
      <c r="LN102" s="46"/>
      <c r="LO102" s="46"/>
      <c r="LP102" s="46"/>
      <c r="LQ102" s="46"/>
      <c r="LR102" s="46"/>
      <c r="LS102" s="46"/>
      <c r="LT102" s="46"/>
      <c r="LU102" s="46"/>
      <c r="LV102" s="46"/>
      <c r="LW102" s="46"/>
      <c r="LX102" s="46"/>
      <c r="LY102" s="46"/>
      <c r="LZ102" s="46"/>
      <c r="MA102" s="46"/>
      <c r="MB102" s="46"/>
      <c r="MC102" s="46"/>
      <c r="MD102" s="46"/>
      <c r="ME102" s="46"/>
      <c r="MF102" s="46"/>
      <c r="MG102" s="46"/>
      <c r="MH102" s="46"/>
      <c r="MI102" s="46"/>
      <c r="MJ102" s="46"/>
      <c r="MK102" s="46"/>
      <c r="ML102" s="46"/>
      <c r="MM102" s="46"/>
      <c r="MN102" s="46"/>
      <c r="MO102" s="46"/>
      <c r="MP102" s="46"/>
      <c r="MQ102" s="46"/>
      <c r="MR102" s="46"/>
      <c r="MS102" s="46"/>
      <c r="MT102" s="46"/>
      <c r="MU102" s="46"/>
      <c r="MV102" s="46"/>
      <c r="MW102" s="46"/>
      <c r="MX102" s="46"/>
      <c r="MY102" s="46"/>
      <c r="MZ102" s="46"/>
      <c r="NA102" s="46"/>
      <c r="NB102" s="46"/>
      <c r="NC102" s="46"/>
      <c r="ND102" s="46"/>
      <c r="NE102" s="46"/>
      <c r="NF102" s="46"/>
      <c r="NG102" s="46"/>
      <c r="NH102" s="46"/>
      <c r="NI102" s="46"/>
      <c r="NJ102" s="46"/>
      <c r="NK102" s="46"/>
      <c r="NL102" s="46"/>
      <c r="NM102" s="46"/>
      <c r="NN102" s="46"/>
      <c r="NO102" s="46"/>
      <c r="NP102" s="46"/>
      <c r="NQ102" s="46"/>
      <c r="NR102" s="46"/>
      <c r="NS102" s="46"/>
      <c r="NT102" s="46"/>
      <c r="NU102" s="46"/>
      <c r="NV102" s="46"/>
      <c r="NW102" s="46"/>
      <c r="NX102" s="46"/>
      <c r="NY102" s="46"/>
      <c r="NZ102" s="46"/>
      <c r="OA102" s="46"/>
      <c r="OB102" s="46"/>
      <c r="OC102" s="46"/>
      <c r="OD102" s="46"/>
      <c r="OE102" s="46"/>
      <c r="OF102" s="46"/>
      <c r="OG102" s="46"/>
      <c r="OH102" s="46"/>
      <c r="OI102" s="46"/>
      <c r="OJ102" s="46"/>
      <c r="OK102" s="46"/>
      <c r="OL102" s="46"/>
      <c r="OM102" s="46"/>
      <c r="ON102" s="46"/>
      <c r="OO102" s="46"/>
      <c r="OP102" s="46"/>
      <c r="OQ102" s="46"/>
      <c r="OR102" s="46"/>
      <c r="OS102" s="46"/>
      <c r="OT102" s="46"/>
      <c r="OU102" s="46"/>
      <c r="OV102" s="46"/>
      <c r="OW102" s="46"/>
      <c r="OX102" s="46"/>
      <c r="OY102" s="46"/>
      <c r="OZ102" s="46"/>
      <c r="PA102" s="46"/>
      <c r="PB102" s="46"/>
      <c r="PC102" s="46"/>
      <c r="PD102" s="46"/>
      <c r="PE102" s="46"/>
      <c r="PF102" s="46"/>
      <c r="PG102" s="46"/>
      <c r="PH102" s="46"/>
      <c r="PI102" s="46"/>
      <c r="PJ102" s="46"/>
      <c r="PK102" s="46"/>
      <c r="PL102" s="46"/>
      <c r="PM102" s="46"/>
      <c r="PN102" s="46"/>
      <c r="PO102" s="46"/>
      <c r="PP102" s="46"/>
      <c r="PQ102" s="46"/>
      <c r="PR102" s="46"/>
      <c r="PS102" s="46"/>
      <c r="PT102" s="46"/>
      <c r="PU102" s="46"/>
      <c r="PV102" s="46"/>
      <c r="PW102" s="46"/>
      <c r="PX102" s="46"/>
      <c r="PY102" s="46"/>
      <c r="PZ102" s="46"/>
      <c r="QA102" s="46"/>
      <c r="QB102" s="46"/>
      <c r="QC102" s="46"/>
      <c r="QD102" s="46"/>
      <c r="QE102" s="46"/>
      <c r="QF102" s="46"/>
      <c r="QG102" s="46"/>
      <c r="QH102" s="46"/>
      <c r="QI102" s="46"/>
      <c r="QJ102" s="46"/>
      <c r="QK102" s="46"/>
      <c r="QL102" s="46"/>
      <c r="QM102" s="46"/>
      <c r="QN102" s="46"/>
      <c r="QO102" s="46"/>
      <c r="QP102" s="46"/>
      <c r="QQ102" s="46"/>
      <c r="QR102" s="46"/>
      <c r="QS102" s="46"/>
      <c r="QT102" s="46"/>
      <c r="QU102" s="46"/>
      <c r="QV102" s="46"/>
      <c r="QW102" s="46"/>
      <c r="QX102" s="46"/>
      <c r="QY102" s="46"/>
      <c r="QZ102" s="46"/>
      <c r="RA102" s="46"/>
      <c r="RB102" s="46"/>
      <c r="RC102" s="46"/>
      <c r="RD102" s="46"/>
      <c r="RE102" s="46"/>
      <c r="RF102" s="46"/>
      <c r="RG102" s="46"/>
      <c r="RH102" s="46"/>
      <c r="RI102" s="46"/>
      <c r="RJ102" s="46"/>
      <c r="RK102" s="46"/>
      <c r="RL102" s="46"/>
      <c r="RM102" s="46"/>
      <c r="RN102" s="46"/>
      <c r="RO102" s="46"/>
      <c r="RP102" s="46"/>
      <c r="RQ102" s="46"/>
      <c r="RR102" s="46"/>
      <c r="RS102" s="46"/>
      <c r="RT102" s="46"/>
      <c r="RU102" s="46"/>
      <c r="RV102" s="46"/>
      <c r="RW102" s="46"/>
      <c r="RX102" s="46"/>
      <c r="RY102" s="46"/>
      <c r="RZ102" s="46"/>
      <c r="SA102" s="46"/>
      <c r="SB102" s="46"/>
      <c r="SC102" s="46"/>
      <c r="SD102" s="46"/>
      <c r="SE102" s="46"/>
      <c r="SF102" s="46"/>
      <c r="SG102" s="46"/>
      <c r="SH102" s="46"/>
      <c r="SI102" s="46"/>
      <c r="SJ102" s="46"/>
      <c r="SK102" s="46"/>
      <c r="SL102" s="46"/>
      <c r="SM102" s="46"/>
      <c r="SN102" s="46"/>
      <c r="SO102" s="46"/>
      <c r="SP102" s="46"/>
      <c r="SQ102" s="46"/>
      <c r="SR102" s="46"/>
      <c r="SS102" s="46"/>
      <c r="ST102" s="46"/>
      <c r="SU102" s="46"/>
      <c r="SV102" s="46"/>
      <c r="SW102" s="46"/>
      <c r="SX102" s="46"/>
      <c r="SY102" s="46"/>
      <c r="SZ102" s="46"/>
      <c r="TA102" s="46"/>
      <c r="TB102" s="46"/>
      <c r="TC102" s="46"/>
      <c r="TD102" s="46"/>
      <c r="TE102" s="46"/>
      <c r="TF102" s="46"/>
      <c r="TG102" s="46"/>
      <c r="TH102" s="46"/>
      <c r="TI102" s="46"/>
      <c r="TJ102" s="46"/>
      <c r="TK102" s="46"/>
      <c r="TL102" s="46"/>
      <c r="TM102" s="46"/>
      <c r="TN102" s="46"/>
      <c r="TO102" s="46"/>
      <c r="TP102" s="46"/>
      <c r="TQ102" s="46"/>
      <c r="TR102" s="46"/>
      <c r="TS102" s="46"/>
      <c r="TT102" s="46"/>
      <c r="TU102" s="46"/>
      <c r="TV102" s="46"/>
      <c r="TW102" s="46"/>
      <c r="TX102" s="46"/>
      <c r="TY102" s="46"/>
      <c r="TZ102" s="46"/>
      <c r="UA102" s="46"/>
      <c r="UB102" s="46"/>
      <c r="UC102" s="46"/>
      <c r="UD102" s="46"/>
      <c r="UE102" s="46"/>
      <c r="UF102" s="46"/>
      <c r="UG102" s="46"/>
      <c r="UH102" s="46"/>
      <c r="UI102" s="46"/>
      <c r="UJ102" s="46"/>
      <c r="UK102" s="46"/>
      <c r="UL102" s="46"/>
      <c r="UM102" s="46"/>
      <c r="UN102" s="46"/>
      <c r="UO102" s="46"/>
      <c r="UP102" s="46"/>
      <c r="UQ102" s="46"/>
      <c r="UR102" s="46"/>
      <c r="US102" s="46"/>
      <c r="UT102" s="46"/>
      <c r="UU102" s="46"/>
      <c r="UV102" s="46"/>
      <c r="UW102" s="46"/>
      <c r="UX102" s="46"/>
      <c r="UY102" s="46"/>
      <c r="UZ102" s="46"/>
      <c r="VA102" s="46"/>
      <c r="VB102" s="46"/>
      <c r="VC102" s="46"/>
      <c r="VD102" s="46"/>
      <c r="VE102" s="46"/>
      <c r="VF102" s="46"/>
      <c r="VG102" s="46"/>
      <c r="VH102" s="46"/>
      <c r="VI102" s="46"/>
      <c r="VJ102" s="46"/>
      <c r="VK102" s="46"/>
      <c r="VL102" s="46"/>
      <c r="VM102" s="46"/>
      <c r="VN102" s="46"/>
      <c r="VO102" s="46"/>
      <c r="VP102" s="46"/>
      <c r="VQ102" s="46"/>
      <c r="VR102" s="46"/>
      <c r="VS102" s="46"/>
      <c r="VT102" s="46"/>
      <c r="VU102" s="46"/>
      <c r="VV102" s="46"/>
      <c r="VW102" s="46"/>
      <c r="VX102" s="46"/>
      <c r="VY102" s="46"/>
      <c r="VZ102" s="46"/>
      <c r="WA102" s="46"/>
      <c r="WB102" s="46"/>
      <c r="WC102" s="46"/>
      <c r="WD102" s="46"/>
      <c r="WE102" s="46"/>
      <c r="WF102" s="46"/>
      <c r="WG102" s="46"/>
      <c r="WH102" s="46"/>
      <c r="WI102" s="46"/>
      <c r="WJ102" s="46"/>
      <c r="WK102" s="46"/>
      <c r="WL102" s="46"/>
      <c r="WM102" s="46"/>
      <c r="WN102" s="46"/>
      <c r="WO102" s="46"/>
      <c r="WP102" s="46"/>
      <c r="WQ102" s="46"/>
      <c r="WR102" s="46"/>
      <c r="WS102" s="46"/>
      <c r="WT102" s="46"/>
      <c r="WU102" s="46"/>
      <c r="WV102" s="46"/>
      <c r="WW102" s="46"/>
      <c r="WX102" s="46"/>
      <c r="WY102" s="46"/>
      <c r="WZ102" s="46"/>
      <c r="XA102" s="46"/>
      <c r="XB102" s="46"/>
      <c r="XC102" s="46"/>
      <c r="XD102" s="46"/>
      <c r="XE102" s="46"/>
      <c r="XF102" s="46"/>
      <c r="XG102" s="46"/>
      <c r="XH102" s="46"/>
      <c r="XI102" s="46"/>
      <c r="XJ102" s="46"/>
      <c r="XK102" s="46"/>
      <c r="XL102" s="46"/>
      <c r="XM102" s="46"/>
      <c r="XN102" s="46"/>
      <c r="XO102" s="46"/>
      <c r="XP102" s="46"/>
      <c r="XQ102" s="46"/>
      <c r="XR102" s="46"/>
      <c r="XS102" s="46"/>
      <c r="XT102" s="46"/>
      <c r="XU102" s="46"/>
      <c r="XV102" s="46"/>
      <c r="XW102" s="46"/>
      <c r="XX102" s="46"/>
      <c r="XY102" s="46"/>
      <c r="XZ102" s="46"/>
      <c r="YA102" s="46"/>
      <c r="YB102" s="46"/>
      <c r="YC102" s="46"/>
      <c r="YD102" s="46"/>
      <c r="YE102" s="46"/>
      <c r="YF102" s="46"/>
      <c r="YG102" s="46"/>
      <c r="YH102" s="46"/>
      <c r="YI102" s="46"/>
      <c r="YJ102" s="46"/>
      <c r="YK102" s="46"/>
      <c r="YL102" s="46"/>
      <c r="YM102" s="46"/>
      <c r="YN102" s="46"/>
      <c r="YO102" s="46"/>
      <c r="YP102" s="46"/>
      <c r="YQ102" s="46"/>
      <c r="YR102" s="46"/>
      <c r="YS102" s="46"/>
      <c r="YT102" s="46"/>
      <c r="YU102" s="46"/>
      <c r="YV102" s="46"/>
      <c r="YW102" s="46"/>
      <c r="YX102" s="46"/>
      <c r="YY102" s="46"/>
      <c r="YZ102" s="46"/>
      <c r="ZA102" s="46"/>
      <c r="ZB102" s="46"/>
      <c r="ZC102" s="46"/>
      <c r="ZD102" s="46"/>
      <c r="ZE102" s="46"/>
      <c r="ZF102" s="46"/>
      <c r="ZG102" s="46"/>
      <c r="ZH102" s="46"/>
      <c r="ZI102" s="46"/>
      <c r="ZJ102" s="46"/>
      <c r="ZK102" s="46"/>
      <c r="ZL102" s="46"/>
      <c r="ZM102" s="46"/>
      <c r="ZN102" s="46"/>
      <c r="ZO102" s="46"/>
      <c r="ZP102" s="46"/>
      <c r="ZQ102" s="46"/>
      <c r="ZR102" s="46"/>
      <c r="ZS102" s="46"/>
      <c r="ZT102" s="46"/>
      <c r="ZU102" s="46"/>
      <c r="ZV102" s="46"/>
      <c r="ZW102" s="46"/>
      <c r="ZX102" s="46"/>
      <c r="ZY102" s="46"/>
      <c r="ZZ102" s="46"/>
      <c r="AAA102" s="46"/>
      <c r="AAB102" s="46"/>
      <c r="AAC102" s="46"/>
      <c r="AAD102" s="46"/>
      <c r="AAE102" s="46"/>
      <c r="AAF102" s="46"/>
      <c r="AAG102" s="46"/>
      <c r="AAH102" s="46"/>
      <c r="AAI102" s="46"/>
      <c r="AAJ102" s="46"/>
      <c r="AAK102" s="46"/>
      <c r="AAL102" s="46"/>
      <c r="AAM102" s="46"/>
      <c r="AAN102" s="46"/>
      <c r="AAO102" s="46"/>
      <c r="AAP102" s="46"/>
      <c r="AAQ102" s="46"/>
      <c r="AAR102" s="46"/>
      <c r="AAS102" s="46"/>
      <c r="AAT102" s="46"/>
    </row>
    <row r="103" spans="1:724" s="60" customFormat="1" ht="21" customHeight="1">
      <c r="A103" s="28">
        <v>3</v>
      </c>
      <c r="B103" s="58">
        <v>5305346</v>
      </c>
      <c r="C103" s="27" t="s">
        <v>73</v>
      </c>
      <c r="D103" s="78" t="s">
        <v>50</v>
      </c>
      <c r="E103" s="62">
        <v>1</v>
      </c>
      <c r="F103" s="31">
        <f>VLOOKUP(B103,'Estampados por manguera'!A$2:B$500,2,FALSE)</f>
        <v>1</v>
      </c>
      <c r="G103" s="31">
        <f t="shared" si="73"/>
        <v>1</v>
      </c>
      <c r="H103" s="20">
        <v>6</v>
      </c>
      <c r="I103" s="29">
        <f t="shared" si="74"/>
        <v>6</v>
      </c>
      <c r="J103" s="32">
        <f t="shared" si="75"/>
        <v>180</v>
      </c>
      <c r="K103" s="31">
        <f t="shared" si="76"/>
        <v>186</v>
      </c>
      <c r="L103" s="11">
        <v>1204</v>
      </c>
      <c r="M103" s="31">
        <f>VLOOKUP(B103,'Mangueras por contenedor'!A$2:B$500,2,FALSE)</f>
        <v>50</v>
      </c>
      <c r="N103" s="35">
        <f t="shared" si="77"/>
        <v>0.02</v>
      </c>
      <c r="O103" s="11">
        <f t="shared" si="78"/>
        <v>33</v>
      </c>
      <c r="P103" s="11">
        <f t="shared" si="79"/>
        <v>300</v>
      </c>
      <c r="Q103" s="11">
        <v>1</v>
      </c>
      <c r="R103" s="32">
        <f t="shared" si="81"/>
        <v>300</v>
      </c>
      <c r="S103" s="32">
        <f t="shared" si="82"/>
        <v>33</v>
      </c>
      <c r="T103" s="32">
        <f t="shared" si="83"/>
        <v>50</v>
      </c>
      <c r="U103" s="59" t="str">
        <f t="shared" si="98"/>
        <v/>
      </c>
      <c r="V103" s="59" t="str">
        <f t="shared" si="98"/>
        <v/>
      </c>
      <c r="W103" s="59" t="str">
        <f t="shared" si="98"/>
        <v/>
      </c>
      <c r="X103" s="59" t="str">
        <f t="shared" si="98"/>
        <v/>
      </c>
      <c r="Y103" s="59" t="str">
        <f t="shared" si="98"/>
        <v/>
      </c>
      <c r="Z103" s="59" t="str">
        <f t="shared" si="98"/>
        <v/>
      </c>
      <c r="AA103" s="59" t="str">
        <f t="shared" si="98"/>
        <v/>
      </c>
      <c r="AB103" s="59" t="str">
        <f t="shared" si="98"/>
        <v/>
      </c>
      <c r="AC103" s="59" t="str">
        <f t="shared" si="98"/>
        <v/>
      </c>
      <c r="AD103" s="59" t="str">
        <f t="shared" si="98"/>
        <v/>
      </c>
      <c r="AE103" s="59" t="str">
        <f t="shared" si="99"/>
        <v/>
      </c>
      <c r="AF103" s="59" t="str">
        <f t="shared" si="99"/>
        <v/>
      </c>
      <c r="AG103" s="59" t="str">
        <f t="shared" si="99"/>
        <v/>
      </c>
      <c r="AH103" s="67" t="str">
        <f t="shared" si="99"/>
        <v/>
      </c>
      <c r="AI103" s="67" t="str">
        <f t="shared" si="99"/>
        <v/>
      </c>
      <c r="AJ103" s="67" t="str">
        <f t="shared" si="99"/>
        <v/>
      </c>
      <c r="AK103" s="67" t="str">
        <f t="shared" si="99"/>
        <v/>
      </c>
      <c r="AL103" s="67" t="str">
        <f t="shared" si="99"/>
        <v/>
      </c>
      <c r="AM103" s="67" t="str">
        <f t="shared" si="99"/>
        <v/>
      </c>
      <c r="AN103" s="67" t="str">
        <f t="shared" si="99"/>
        <v/>
      </c>
      <c r="AO103" s="67" t="str">
        <f t="shared" si="99"/>
        <v/>
      </c>
      <c r="AP103" s="67" t="str">
        <f t="shared" si="99"/>
        <v/>
      </c>
      <c r="AQ103" s="67" t="str">
        <f t="shared" si="97"/>
        <v/>
      </c>
      <c r="AR103" s="67" t="str">
        <f t="shared" si="97"/>
        <v/>
      </c>
      <c r="AS103" s="67" t="str">
        <f t="shared" si="96"/>
        <v/>
      </c>
      <c r="AT103" s="67" t="str">
        <f t="shared" si="96"/>
        <v/>
      </c>
      <c r="AU103" s="68" t="str">
        <f t="shared" si="96"/>
        <v/>
      </c>
      <c r="AV103" s="68" t="str">
        <f t="shared" si="96"/>
        <v/>
      </c>
      <c r="AW103" s="68" t="str">
        <f t="shared" si="93"/>
        <v/>
      </c>
      <c r="AX103" s="68" t="str">
        <f t="shared" si="93"/>
        <v/>
      </c>
      <c r="AY103" s="68" t="str">
        <f t="shared" si="92"/>
        <v/>
      </c>
      <c r="AZ103" s="68" t="str">
        <f t="shared" si="88"/>
        <v/>
      </c>
      <c r="BA103" s="68" t="str">
        <f t="shared" si="88"/>
        <v>X</v>
      </c>
    </row>
    <row r="104" spans="1:724" s="60" customFormat="1" ht="21" customHeight="1">
      <c r="A104" s="28">
        <v>3</v>
      </c>
      <c r="B104" s="58">
        <v>5305711</v>
      </c>
      <c r="C104" s="27" t="s">
        <v>73</v>
      </c>
      <c r="D104" s="78" t="s">
        <v>50</v>
      </c>
      <c r="E104" s="62">
        <v>1</v>
      </c>
      <c r="F104" s="30">
        <f>VLOOKUP(B104,'Estampados por manguera'!A$2:B$500,2,FALSE)</f>
        <v>1</v>
      </c>
      <c r="G104" s="30">
        <f t="shared" si="73"/>
        <v>1</v>
      </c>
      <c r="H104" s="32">
        <v>6</v>
      </c>
      <c r="I104" s="30">
        <f t="shared" si="74"/>
        <v>6</v>
      </c>
      <c r="J104" s="32">
        <f t="shared" si="75"/>
        <v>180</v>
      </c>
      <c r="K104" s="30">
        <f t="shared" si="76"/>
        <v>186</v>
      </c>
      <c r="L104" s="32">
        <v>1205</v>
      </c>
      <c r="M104" s="30">
        <f>VLOOKUP(B104,'Mangueras por contenedor'!A$2:B$500,2,FALSE)</f>
        <v>60</v>
      </c>
      <c r="N104" s="45">
        <f t="shared" si="77"/>
        <v>1.6666666666666666E-2</v>
      </c>
      <c r="O104" s="11">
        <f t="shared" si="78"/>
        <v>33</v>
      </c>
      <c r="P104" s="32">
        <f t="shared" si="79"/>
        <v>360</v>
      </c>
      <c r="Q104" s="11">
        <v>1</v>
      </c>
      <c r="R104" s="32">
        <f t="shared" si="81"/>
        <v>360</v>
      </c>
      <c r="S104" s="32">
        <f t="shared" si="82"/>
        <v>33</v>
      </c>
      <c r="T104" s="32">
        <f t="shared" si="83"/>
        <v>60</v>
      </c>
      <c r="U104" s="59" t="str">
        <f t="shared" si="98"/>
        <v/>
      </c>
      <c r="V104" s="59" t="str">
        <f t="shared" si="98"/>
        <v/>
      </c>
      <c r="W104" s="59" t="str">
        <f t="shared" si="98"/>
        <v/>
      </c>
      <c r="X104" s="59" t="str">
        <f t="shared" si="98"/>
        <v/>
      </c>
      <c r="Y104" s="59" t="str">
        <f t="shared" si="98"/>
        <v/>
      </c>
      <c r="Z104" s="59" t="str">
        <f t="shared" si="98"/>
        <v/>
      </c>
      <c r="AA104" s="59" t="str">
        <f t="shared" si="98"/>
        <v/>
      </c>
      <c r="AB104" s="59" t="str">
        <f t="shared" si="98"/>
        <v/>
      </c>
      <c r="AC104" s="59" t="str">
        <f t="shared" si="98"/>
        <v/>
      </c>
      <c r="AD104" s="59" t="str">
        <f t="shared" si="98"/>
        <v/>
      </c>
      <c r="AE104" s="59" t="str">
        <f t="shared" si="99"/>
        <v/>
      </c>
      <c r="AF104" s="59" t="str">
        <f t="shared" si="99"/>
        <v/>
      </c>
      <c r="AG104" s="59" t="str">
        <f t="shared" si="99"/>
        <v/>
      </c>
      <c r="AH104" s="67" t="str">
        <f t="shared" si="99"/>
        <v/>
      </c>
      <c r="AI104" s="67" t="str">
        <f t="shared" si="99"/>
        <v/>
      </c>
      <c r="AJ104" s="67" t="str">
        <f t="shared" si="99"/>
        <v/>
      </c>
      <c r="AK104" s="67" t="str">
        <f t="shared" si="99"/>
        <v/>
      </c>
      <c r="AL104" s="67" t="str">
        <f t="shared" si="99"/>
        <v/>
      </c>
      <c r="AM104" s="67" t="str">
        <f t="shared" si="99"/>
        <v/>
      </c>
      <c r="AN104" s="67" t="str">
        <f t="shared" si="99"/>
        <v/>
      </c>
      <c r="AO104" s="67" t="str">
        <f t="shared" si="99"/>
        <v/>
      </c>
      <c r="AP104" s="67" t="str">
        <f t="shared" si="99"/>
        <v/>
      </c>
      <c r="AQ104" s="67" t="str">
        <f t="shared" si="97"/>
        <v/>
      </c>
      <c r="AR104" s="67" t="str">
        <f t="shared" si="97"/>
        <v/>
      </c>
      <c r="AS104" s="67" t="str">
        <f t="shared" si="96"/>
        <v/>
      </c>
      <c r="AT104" s="67" t="str">
        <f t="shared" si="96"/>
        <v/>
      </c>
      <c r="AU104" s="68" t="str">
        <f t="shared" si="96"/>
        <v/>
      </c>
      <c r="AV104" s="68" t="str">
        <f t="shared" si="96"/>
        <v/>
      </c>
      <c r="AW104" s="68" t="str">
        <f t="shared" si="93"/>
        <v/>
      </c>
      <c r="AX104" s="68" t="str">
        <f t="shared" si="93"/>
        <v/>
      </c>
      <c r="AY104" s="68" t="str">
        <f t="shared" si="92"/>
        <v/>
      </c>
      <c r="AZ104" s="68" t="str">
        <f t="shared" si="88"/>
        <v/>
      </c>
      <c r="BA104" s="68" t="str">
        <f t="shared" si="88"/>
        <v>X</v>
      </c>
    </row>
    <row r="105" spans="1:724" s="60" customFormat="1" ht="21" customHeight="1">
      <c r="A105" s="28">
        <v>3</v>
      </c>
      <c r="B105" s="58">
        <v>5305351</v>
      </c>
      <c r="C105" s="27" t="s">
        <v>194</v>
      </c>
      <c r="D105" s="78" t="s">
        <v>50</v>
      </c>
      <c r="E105" s="62">
        <v>2</v>
      </c>
      <c r="F105" s="31">
        <f>VLOOKUP(B105,'Estampados por manguera'!A$2:B$500,2,FALSE)</f>
        <v>2</v>
      </c>
      <c r="G105" s="31">
        <f t="shared" si="73"/>
        <v>4</v>
      </c>
      <c r="H105" s="20">
        <v>6</v>
      </c>
      <c r="I105" s="29">
        <f t="shared" si="74"/>
        <v>24</v>
      </c>
      <c r="J105" s="32">
        <f t="shared" si="75"/>
        <v>180</v>
      </c>
      <c r="K105" s="31">
        <f t="shared" si="76"/>
        <v>204</v>
      </c>
      <c r="L105" s="11">
        <v>1206</v>
      </c>
      <c r="M105" s="31">
        <f>VLOOKUP(B105,'Mangueras por contenedor'!A$2:B$500,2,FALSE)</f>
        <v>52</v>
      </c>
      <c r="N105" s="35">
        <f t="shared" si="77"/>
        <v>3.8461538461538464E-2</v>
      </c>
      <c r="O105" s="11">
        <f t="shared" si="78"/>
        <v>21</v>
      </c>
      <c r="P105" s="11">
        <f t="shared" si="79"/>
        <v>624</v>
      </c>
      <c r="Q105" s="11">
        <v>1</v>
      </c>
      <c r="R105" s="32">
        <f t="shared" si="81"/>
        <v>624</v>
      </c>
      <c r="S105" s="32">
        <f t="shared" si="82"/>
        <v>21</v>
      </c>
      <c r="T105" s="32">
        <f t="shared" si="83"/>
        <v>52</v>
      </c>
      <c r="U105" s="59" t="str">
        <f t="shared" si="98"/>
        <v/>
      </c>
      <c r="V105" s="59" t="str">
        <f t="shared" si="98"/>
        <v/>
      </c>
      <c r="W105" s="59" t="str">
        <f t="shared" si="98"/>
        <v/>
      </c>
      <c r="X105" s="59" t="str">
        <f t="shared" si="98"/>
        <v/>
      </c>
      <c r="Y105" s="59" t="str">
        <f t="shared" si="98"/>
        <v/>
      </c>
      <c r="Z105" s="59" t="str">
        <f t="shared" si="98"/>
        <v/>
      </c>
      <c r="AA105" s="59" t="str">
        <f t="shared" si="98"/>
        <v/>
      </c>
      <c r="AB105" s="59" t="str">
        <f t="shared" si="98"/>
        <v/>
      </c>
      <c r="AC105" s="59" t="str">
        <f t="shared" si="98"/>
        <v/>
      </c>
      <c r="AD105" s="59" t="str">
        <f t="shared" si="98"/>
        <v/>
      </c>
      <c r="AE105" s="59" t="str">
        <f t="shared" si="99"/>
        <v/>
      </c>
      <c r="AF105" s="59" t="str">
        <f t="shared" si="99"/>
        <v/>
      </c>
      <c r="AG105" s="59" t="str">
        <f t="shared" si="99"/>
        <v/>
      </c>
      <c r="AH105" s="67" t="str">
        <f t="shared" si="99"/>
        <v/>
      </c>
      <c r="AI105" s="67" t="str">
        <f t="shared" si="99"/>
        <v/>
      </c>
      <c r="AJ105" s="67" t="str">
        <f t="shared" si="99"/>
        <v/>
      </c>
      <c r="AK105" s="67" t="str">
        <f t="shared" si="99"/>
        <v/>
      </c>
      <c r="AL105" s="67" t="str">
        <f t="shared" si="99"/>
        <v/>
      </c>
      <c r="AM105" s="67" t="str">
        <f t="shared" si="99"/>
        <v/>
      </c>
      <c r="AN105" s="67" t="str">
        <f t="shared" si="99"/>
        <v/>
      </c>
      <c r="AO105" s="67" t="str">
        <f t="shared" si="99"/>
        <v>X</v>
      </c>
      <c r="AP105" s="67" t="str">
        <f t="shared" si="99"/>
        <v/>
      </c>
      <c r="AQ105" s="67" t="str">
        <f t="shared" si="97"/>
        <v/>
      </c>
      <c r="AR105" s="67" t="str">
        <f t="shared" si="97"/>
        <v/>
      </c>
      <c r="AS105" s="67" t="str">
        <f t="shared" si="96"/>
        <v/>
      </c>
      <c r="AT105" s="67" t="str">
        <f t="shared" si="96"/>
        <v/>
      </c>
      <c r="AU105" s="68" t="str">
        <f t="shared" si="96"/>
        <v/>
      </c>
      <c r="AV105" s="68" t="str">
        <f t="shared" si="96"/>
        <v/>
      </c>
      <c r="AW105" s="68" t="str">
        <f t="shared" si="93"/>
        <v/>
      </c>
      <c r="AX105" s="68" t="str">
        <f t="shared" si="93"/>
        <v/>
      </c>
      <c r="AY105" s="68" t="str">
        <f t="shared" si="92"/>
        <v/>
      </c>
      <c r="AZ105" s="68" t="str">
        <f t="shared" si="88"/>
        <v/>
      </c>
      <c r="BA105" s="68" t="str">
        <f t="shared" si="88"/>
        <v/>
      </c>
    </row>
    <row r="106" spans="1:724" s="60" customFormat="1" ht="21" customHeight="1">
      <c r="A106" s="28">
        <v>3</v>
      </c>
      <c r="B106" s="58">
        <v>5305313</v>
      </c>
      <c r="C106" s="27" t="s">
        <v>94</v>
      </c>
      <c r="D106" s="78" t="s">
        <v>50</v>
      </c>
      <c r="E106" s="62">
        <v>2</v>
      </c>
      <c r="F106" s="30">
        <f>VLOOKUP(B106,'Estampados por manguera'!A$2:B$500,2,FALSE)</f>
        <v>1</v>
      </c>
      <c r="G106" s="30">
        <f t="shared" si="73"/>
        <v>2</v>
      </c>
      <c r="H106" s="32">
        <v>6</v>
      </c>
      <c r="I106" s="30">
        <f t="shared" si="74"/>
        <v>12</v>
      </c>
      <c r="J106" s="32">
        <f t="shared" si="75"/>
        <v>180</v>
      </c>
      <c r="K106" s="30">
        <f t="shared" si="76"/>
        <v>192</v>
      </c>
      <c r="L106" s="32">
        <v>1207</v>
      </c>
      <c r="M106" s="30">
        <f>VLOOKUP(B106,'Mangueras por contenedor'!A$2:B$500,2,FALSE)</f>
        <v>50</v>
      </c>
      <c r="N106" s="45">
        <f t="shared" si="77"/>
        <v>0.04</v>
      </c>
      <c r="O106" s="11">
        <f t="shared" si="78"/>
        <v>20</v>
      </c>
      <c r="P106" s="32">
        <f t="shared" si="79"/>
        <v>300</v>
      </c>
      <c r="Q106" s="11">
        <f>IF(M106&gt;=100,1,IF((M106*2)&gt;=100,2,IF((M106*3)&gt;=100,3,IF((M106*4)&gt;=100,4,5))))</f>
        <v>2</v>
      </c>
      <c r="R106" s="32">
        <f t="shared" si="81"/>
        <v>600</v>
      </c>
      <c r="S106" s="32">
        <f t="shared" si="82"/>
        <v>33</v>
      </c>
      <c r="T106" s="32">
        <f t="shared" si="83"/>
        <v>100</v>
      </c>
      <c r="U106" s="59" t="str">
        <f t="shared" si="98"/>
        <v/>
      </c>
      <c r="V106" s="59" t="str">
        <f t="shared" si="98"/>
        <v/>
      </c>
      <c r="W106" s="59" t="str">
        <f t="shared" si="98"/>
        <v/>
      </c>
      <c r="X106" s="59" t="str">
        <f t="shared" si="98"/>
        <v/>
      </c>
      <c r="Y106" s="59" t="str">
        <f t="shared" si="98"/>
        <v/>
      </c>
      <c r="Z106" s="59" t="str">
        <f t="shared" si="98"/>
        <v/>
      </c>
      <c r="AA106" s="59" t="str">
        <f t="shared" si="98"/>
        <v/>
      </c>
      <c r="AB106" s="59" t="str">
        <f t="shared" si="98"/>
        <v/>
      </c>
      <c r="AC106" s="59" t="str">
        <f t="shared" si="98"/>
        <v/>
      </c>
      <c r="AD106" s="59" t="str">
        <f t="shared" si="98"/>
        <v/>
      </c>
      <c r="AE106" s="59" t="str">
        <f t="shared" si="99"/>
        <v/>
      </c>
      <c r="AF106" s="59" t="str">
        <f t="shared" si="99"/>
        <v/>
      </c>
      <c r="AG106" s="59" t="str">
        <f t="shared" si="99"/>
        <v/>
      </c>
      <c r="AH106" s="67" t="str">
        <f t="shared" si="99"/>
        <v/>
      </c>
      <c r="AI106" s="67" t="str">
        <f t="shared" si="99"/>
        <v/>
      </c>
      <c r="AJ106" s="67" t="str">
        <f t="shared" si="99"/>
        <v/>
      </c>
      <c r="AK106" s="67" t="str">
        <f t="shared" si="99"/>
        <v/>
      </c>
      <c r="AL106" s="67" t="str">
        <f t="shared" si="99"/>
        <v/>
      </c>
      <c r="AM106" s="67" t="str">
        <f t="shared" si="99"/>
        <v/>
      </c>
      <c r="AN106" s="67" t="str">
        <f t="shared" si="99"/>
        <v/>
      </c>
      <c r="AO106" s="67" t="str">
        <f t="shared" si="99"/>
        <v/>
      </c>
      <c r="AP106" s="67" t="str">
        <f t="shared" si="99"/>
        <v/>
      </c>
      <c r="AQ106" s="67" t="str">
        <f t="shared" si="97"/>
        <v/>
      </c>
      <c r="AR106" s="67" t="str">
        <f t="shared" si="97"/>
        <v/>
      </c>
      <c r="AS106" s="67" t="str">
        <f t="shared" si="96"/>
        <v/>
      </c>
      <c r="AT106" s="67" t="str">
        <f t="shared" si="96"/>
        <v/>
      </c>
      <c r="AU106" s="68" t="str">
        <f t="shared" si="96"/>
        <v/>
      </c>
      <c r="AV106" s="68" t="str">
        <f t="shared" si="96"/>
        <v/>
      </c>
      <c r="AW106" s="68" t="str">
        <f t="shared" si="93"/>
        <v/>
      </c>
      <c r="AX106" s="68" t="str">
        <f t="shared" si="93"/>
        <v/>
      </c>
      <c r="AY106" s="68" t="str">
        <f t="shared" si="92"/>
        <v/>
      </c>
      <c r="AZ106" s="68" t="str">
        <f t="shared" si="88"/>
        <v/>
      </c>
      <c r="BA106" s="68" t="str">
        <f t="shared" si="88"/>
        <v>X</v>
      </c>
    </row>
    <row r="107" spans="1:724" s="60" customFormat="1" ht="21" customHeight="1">
      <c r="A107" s="28">
        <v>3</v>
      </c>
      <c r="B107" s="58">
        <v>5305353</v>
      </c>
      <c r="C107" s="27" t="s">
        <v>96</v>
      </c>
      <c r="D107" s="78" t="s">
        <v>50</v>
      </c>
      <c r="E107" s="62">
        <v>1</v>
      </c>
      <c r="F107" s="31">
        <f>VLOOKUP(B107,'Estampados por manguera'!A$2:B$500,2,FALSE)</f>
        <v>1</v>
      </c>
      <c r="G107" s="31">
        <f t="shared" si="73"/>
        <v>1</v>
      </c>
      <c r="H107" s="20">
        <v>6</v>
      </c>
      <c r="I107" s="29">
        <f t="shared" si="74"/>
        <v>6</v>
      </c>
      <c r="J107" s="32">
        <f t="shared" si="75"/>
        <v>180</v>
      </c>
      <c r="K107" s="31">
        <f t="shared" si="76"/>
        <v>186</v>
      </c>
      <c r="L107" s="11">
        <v>1212</v>
      </c>
      <c r="M107" s="31">
        <f>VLOOKUP(B107,'Mangueras por contenedor'!A$2:B$500,2,FALSE)</f>
        <v>30</v>
      </c>
      <c r="N107" s="35">
        <f t="shared" si="77"/>
        <v>3.3333333333333333E-2</v>
      </c>
      <c r="O107" s="11">
        <f t="shared" si="78"/>
        <v>24</v>
      </c>
      <c r="P107" s="11">
        <f t="shared" si="79"/>
        <v>180</v>
      </c>
      <c r="Q107" s="11">
        <v>2</v>
      </c>
      <c r="R107" s="32">
        <f t="shared" si="81"/>
        <v>360</v>
      </c>
      <c r="S107" s="32">
        <f t="shared" si="82"/>
        <v>33</v>
      </c>
      <c r="T107" s="32">
        <f t="shared" si="83"/>
        <v>60</v>
      </c>
      <c r="U107" s="59" t="str">
        <f t="shared" si="98"/>
        <v/>
      </c>
      <c r="V107" s="59" t="str">
        <f t="shared" si="98"/>
        <v/>
      </c>
      <c r="W107" s="59" t="str">
        <f t="shared" si="98"/>
        <v/>
      </c>
      <c r="X107" s="59" t="str">
        <f t="shared" si="98"/>
        <v/>
      </c>
      <c r="Y107" s="59" t="str">
        <f t="shared" si="98"/>
        <v/>
      </c>
      <c r="Z107" s="59" t="str">
        <f t="shared" si="98"/>
        <v/>
      </c>
      <c r="AA107" s="59" t="str">
        <f t="shared" si="98"/>
        <v/>
      </c>
      <c r="AB107" s="59" t="str">
        <f t="shared" si="98"/>
        <v/>
      </c>
      <c r="AC107" s="59" t="str">
        <f t="shared" si="98"/>
        <v/>
      </c>
      <c r="AD107" s="59" t="str">
        <f t="shared" si="98"/>
        <v/>
      </c>
      <c r="AE107" s="59" t="str">
        <f t="shared" si="99"/>
        <v/>
      </c>
      <c r="AF107" s="59" t="str">
        <f t="shared" si="99"/>
        <v/>
      </c>
      <c r="AG107" s="59" t="str">
        <f t="shared" si="99"/>
        <v/>
      </c>
      <c r="AH107" s="67" t="str">
        <f t="shared" si="99"/>
        <v/>
      </c>
      <c r="AI107" s="67" t="str">
        <f t="shared" si="99"/>
        <v/>
      </c>
      <c r="AJ107" s="67" t="str">
        <f t="shared" si="99"/>
        <v/>
      </c>
      <c r="AK107" s="67" t="str">
        <f t="shared" si="99"/>
        <v/>
      </c>
      <c r="AL107" s="67" t="str">
        <f t="shared" si="99"/>
        <v/>
      </c>
      <c r="AM107" s="67" t="str">
        <f t="shared" si="99"/>
        <v/>
      </c>
      <c r="AN107" s="67" t="str">
        <f t="shared" si="99"/>
        <v/>
      </c>
      <c r="AO107" s="67" t="str">
        <f t="shared" si="99"/>
        <v/>
      </c>
      <c r="AP107" s="67" t="str">
        <f t="shared" si="99"/>
        <v/>
      </c>
      <c r="AQ107" s="67" t="str">
        <f t="shared" si="97"/>
        <v/>
      </c>
      <c r="AR107" s="67" t="str">
        <f t="shared" si="97"/>
        <v/>
      </c>
      <c r="AS107" s="67" t="str">
        <f t="shared" si="96"/>
        <v/>
      </c>
      <c r="AT107" s="67" t="str">
        <f t="shared" si="96"/>
        <v/>
      </c>
      <c r="AU107" s="68" t="str">
        <f t="shared" si="96"/>
        <v/>
      </c>
      <c r="AV107" s="68" t="str">
        <f t="shared" si="96"/>
        <v/>
      </c>
      <c r="AW107" s="68" t="str">
        <f t="shared" si="93"/>
        <v/>
      </c>
      <c r="AX107" s="68" t="str">
        <f t="shared" si="93"/>
        <v/>
      </c>
      <c r="AY107" s="68" t="str">
        <f t="shared" si="92"/>
        <v/>
      </c>
      <c r="AZ107" s="68" t="str">
        <f t="shared" si="88"/>
        <v/>
      </c>
      <c r="BA107" s="68" t="str">
        <f t="shared" si="88"/>
        <v>X</v>
      </c>
    </row>
    <row r="108" spans="1:724" s="60" customFormat="1" ht="21" customHeight="1">
      <c r="A108" s="5"/>
      <c r="B108" s="61"/>
      <c r="D108" s="65"/>
      <c r="E108" s="13"/>
      <c r="G108" s="9"/>
      <c r="H108" s="8"/>
      <c r="I108" s="3"/>
      <c r="J108" s="42"/>
      <c r="K108" s="9"/>
      <c r="L108" s="2"/>
      <c r="M108" s="9"/>
      <c r="N108" s="66"/>
      <c r="O108" s="2"/>
      <c r="P108" s="2"/>
      <c r="Q108" s="42"/>
      <c r="R108" s="42"/>
      <c r="S108" s="42"/>
      <c r="T108" s="42" t="s">
        <v>107</v>
      </c>
      <c r="U108" s="14">
        <f t="shared" ref="U108:AG108" si="100">SUMIFS($P$80:$P$97,U87:U104,"x")</f>
        <v>0</v>
      </c>
      <c r="V108" s="14">
        <f t="shared" si="100"/>
        <v>0</v>
      </c>
      <c r="W108" s="14">
        <f t="shared" si="100"/>
        <v>0</v>
      </c>
      <c r="X108" s="14">
        <f t="shared" si="100"/>
        <v>360</v>
      </c>
      <c r="Y108" s="14">
        <f t="shared" si="100"/>
        <v>0</v>
      </c>
      <c r="Z108" s="14">
        <f t="shared" si="100"/>
        <v>960</v>
      </c>
      <c r="AA108" s="14">
        <f t="shared" si="100"/>
        <v>0</v>
      </c>
      <c r="AB108" s="14">
        <f t="shared" si="100"/>
        <v>990</v>
      </c>
      <c r="AC108" s="14">
        <f t="shared" si="100"/>
        <v>0</v>
      </c>
      <c r="AD108" s="14">
        <f t="shared" si="100"/>
        <v>0</v>
      </c>
      <c r="AE108" s="14">
        <f t="shared" si="100"/>
        <v>0</v>
      </c>
      <c r="AF108" s="14">
        <f t="shared" si="100"/>
        <v>1320</v>
      </c>
      <c r="AG108" s="14">
        <f t="shared" si="100"/>
        <v>0</v>
      </c>
      <c r="AH108" s="14">
        <f>SUMIFS($R$80:$R$107,AH80:AH107,"x")</f>
        <v>720</v>
      </c>
      <c r="AI108" s="14">
        <f t="shared" ref="AI108:AQ108" si="101">SUMIFS($R$80:$R$107,AI80:AI107,"x")</f>
        <v>6210</v>
      </c>
      <c r="AJ108" s="14">
        <f t="shared" si="101"/>
        <v>7320</v>
      </c>
      <c r="AK108" s="14">
        <f t="shared" si="101"/>
        <v>0</v>
      </c>
      <c r="AL108" s="14">
        <f t="shared" si="101"/>
        <v>9510</v>
      </c>
      <c r="AM108" s="14">
        <f t="shared" si="101"/>
        <v>0</v>
      </c>
      <c r="AN108" s="14">
        <f t="shared" si="101"/>
        <v>6360</v>
      </c>
      <c r="AO108" s="14">
        <f t="shared" si="101"/>
        <v>7464</v>
      </c>
      <c r="AP108" s="14">
        <f t="shared" si="101"/>
        <v>720</v>
      </c>
      <c r="AQ108" s="14">
        <f t="shared" si="101"/>
        <v>6720</v>
      </c>
      <c r="AR108" s="14">
        <f>SUMIFS($R$80:$R$107,AR80:AR107,"x")</f>
        <v>8850</v>
      </c>
      <c r="AS108" s="14">
        <f t="shared" ref="AS108:BA108" si="102">SUMIFS($R$80:$R$107,AS80:AS107,"x")</f>
        <v>0</v>
      </c>
      <c r="AT108" s="14">
        <f t="shared" si="102"/>
        <v>1500</v>
      </c>
      <c r="AU108" s="14">
        <f t="shared" si="102"/>
        <v>6984</v>
      </c>
      <c r="AV108" s="14">
        <f t="shared" si="102"/>
        <v>7380</v>
      </c>
      <c r="AW108" s="14">
        <f t="shared" si="102"/>
        <v>1440</v>
      </c>
      <c r="AX108" s="14">
        <f t="shared" si="102"/>
        <v>7290</v>
      </c>
      <c r="AY108" s="14">
        <f t="shared" si="102"/>
        <v>2118</v>
      </c>
      <c r="AZ108" s="14">
        <f t="shared" si="102"/>
        <v>7320</v>
      </c>
      <c r="BA108" s="14">
        <f t="shared" si="102"/>
        <v>9138</v>
      </c>
    </row>
    <row r="109" spans="1:724" s="60" customFormat="1" ht="21" customHeight="1">
      <c r="A109" s="5"/>
      <c r="B109" s="61"/>
      <c r="D109" s="65"/>
      <c r="E109" s="13"/>
      <c r="G109" s="9"/>
      <c r="H109" s="8"/>
      <c r="I109" s="3"/>
      <c r="J109" s="42"/>
      <c r="K109" s="9"/>
      <c r="L109" s="2"/>
      <c r="M109" s="9"/>
      <c r="N109" s="66"/>
      <c r="O109" s="2"/>
      <c r="P109" s="2"/>
      <c r="Q109" s="42"/>
      <c r="R109" s="42"/>
      <c r="S109" s="42"/>
      <c r="T109" s="42" t="s">
        <v>10</v>
      </c>
      <c r="U109" s="14">
        <f t="shared" ref="U109:BA109" si="103">(COUNTIF(U87:U104,"X"))*180</f>
        <v>0</v>
      </c>
      <c r="V109" s="14">
        <f t="shared" si="103"/>
        <v>0</v>
      </c>
      <c r="W109" s="14">
        <f t="shared" si="103"/>
        <v>0</v>
      </c>
      <c r="X109" s="14">
        <f t="shared" si="103"/>
        <v>180</v>
      </c>
      <c r="Y109" s="14">
        <f t="shared" si="103"/>
        <v>0</v>
      </c>
      <c r="Z109" s="14">
        <f t="shared" si="103"/>
        <v>180</v>
      </c>
      <c r="AA109" s="14">
        <f t="shared" si="103"/>
        <v>0</v>
      </c>
      <c r="AB109" s="14">
        <f t="shared" si="103"/>
        <v>360</v>
      </c>
      <c r="AC109" s="14">
        <f t="shared" si="103"/>
        <v>0</v>
      </c>
      <c r="AD109" s="14">
        <f t="shared" si="103"/>
        <v>0</v>
      </c>
      <c r="AE109" s="14">
        <f t="shared" si="103"/>
        <v>0</v>
      </c>
      <c r="AF109" s="14">
        <f t="shared" si="103"/>
        <v>360</v>
      </c>
      <c r="AG109" s="14">
        <f t="shared" si="103"/>
        <v>0</v>
      </c>
      <c r="AH109" s="14">
        <f t="shared" si="103"/>
        <v>0</v>
      </c>
      <c r="AI109" s="14">
        <f t="shared" si="103"/>
        <v>0</v>
      </c>
      <c r="AJ109" s="14">
        <f t="shared" si="103"/>
        <v>540</v>
      </c>
      <c r="AK109" s="14">
        <f t="shared" si="103"/>
        <v>0</v>
      </c>
      <c r="AL109" s="14">
        <f t="shared" si="103"/>
        <v>360</v>
      </c>
      <c r="AM109" s="14">
        <f t="shared" si="103"/>
        <v>0</v>
      </c>
      <c r="AN109" s="14">
        <f t="shared" si="103"/>
        <v>180</v>
      </c>
      <c r="AO109" s="14">
        <f t="shared" si="103"/>
        <v>180</v>
      </c>
      <c r="AP109" s="14">
        <f t="shared" si="103"/>
        <v>0</v>
      </c>
      <c r="AQ109" s="14">
        <f t="shared" si="103"/>
        <v>540</v>
      </c>
      <c r="AR109" s="14">
        <f t="shared" si="103"/>
        <v>180</v>
      </c>
      <c r="AS109" s="14">
        <f t="shared" si="103"/>
        <v>0</v>
      </c>
      <c r="AT109" s="14">
        <f t="shared" si="103"/>
        <v>180</v>
      </c>
      <c r="AU109" s="14">
        <f t="shared" si="103"/>
        <v>180</v>
      </c>
      <c r="AV109" s="14">
        <f t="shared" si="103"/>
        <v>540</v>
      </c>
      <c r="AW109" s="14">
        <f t="shared" si="103"/>
        <v>0</v>
      </c>
      <c r="AX109" s="14">
        <f t="shared" si="103"/>
        <v>540</v>
      </c>
      <c r="AY109" s="14">
        <f t="shared" si="103"/>
        <v>180</v>
      </c>
      <c r="AZ109" s="14">
        <f t="shared" si="103"/>
        <v>540</v>
      </c>
      <c r="BA109" s="14">
        <f t="shared" si="103"/>
        <v>720</v>
      </c>
    </row>
    <row r="110" spans="1:724" s="60" customFormat="1" ht="21" customHeight="1">
      <c r="A110" s="5"/>
      <c r="B110" s="61"/>
      <c r="D110" s="65"/>
      <c r="E110" s="13"/>
      <c r="G110" s="9"/>
      <c r="H110" s="8"/>
      <c r="I110" s="3"/>
      <c r="J110" s="42"/>
      <c r="K110" s="9"/>
      <c r="L110" s="2"/>
      <c r="M110" s="9"/>
      <c r="N110" s="66"/>
      <c r="O110" s="2"/>
      <c r="P110" s="2"/>
      <c r="Q110" s="42"/>
      <c r="R110" s="42"/>
      <c r="S110" s="42"/>
      <c r="T110" s="42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</row>
    <row r="111" spans="1:724" s="60" customFormat="1" ht="21" customHeight="1">
      <c r="A111" s="5"/>
      <c r="B111" s="61"/>
      <c r="D111" s="65"/>
      <c r="E111" s="13"/>
      <c r="G111" s="9"/>
      <c r="H111" s="8"/>
      <c r="I111" s="3"/>
      <c r="J111" s="42"/>
      <c r="K111" s="9"/>
      <c r="L111" s="2"/>
      <c r="M111" s="9"/>
      <c r="N111" s="66"/>
      <c r="O111" s="2"/>
      <c r="P111" s="2"/>
      <c r="Q111" s="42"/>
      <c r="R111" s="42"/>
      <c r="S111" s="42"/>
      <c r="T111" s="42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</row>
    <row r="112" spans="1:724" s="60" customFormat="1" ht="21" customHeight="1">
      <c r="B112" s="77"/>
      <c r="D112" s="65"/>
      <c r="E112" s="13"/>
      <c r="F112" s="17"/>
      <c r="G112" s="17"/>
      <c r="H112" s="4"/>
      <c r="P112" s="2"/>
      <c r="Q112" s="2"/>
      <c r="R112" s="2"/>
      <c r="S112" s="2"/>
      <c r="T112" s="2"/>
      <c r="U112" s="170" t="s">
        <v>127</v>
      </c>
      <c r="V112" s="170"/>
      <c r="W112" s="170"/>
      <c r="X112" s="170"/>
      <c r="Y112" s="170"/>
      <c r="Z112" s="170"/>
      <c r="AA112" s="170"/>
      <c r="AB112" s="170"/>
      <c r="AC112" s="170"/>
      <c r="AD112" s="170"/>
      <c r="AE112" s="170"/>
      <c r="AF112" s="170"/>
      <c r="AG112" s="170"/>
      <c r="AH112" s="171" t="s">
        <v>128</v>
      </c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2" t="s">
        <v>129</v>
      </c>
      <c r="AV112" s="172"/>
      <c r="AW112" s="172"/>
      <c r="AX112" s="172"/>
      <c r="AY112" s="172"/>
      <c r="AZ112" s="172"/>
      <c r="BA112" s="172"/>
      <c r="CH112"/>
      <c r="CI112"/>
    </row>
    <row r="113" spans="1:724" s="60" customFormat="1" ht="57.75" customHeight="1">
      <c r="A113" s="38" t="s">
        <v>12</v>
      </c>
      <c r="B113" s="85" t="s">
        <v>0</v>
      </c>
      <c r="C113" s="79" t="s">
        <v>1</v>
      </c>
      <c r="D113" s="39" t="s">
        <v>2</v>
      </c>
      <c r="E113" s="39" t="s">
        <v>108</v>
      </c>
      <c r="F113" s="40" t="s">
        <v>8</v>
      </c>
      <c r="G113" s="40" t="s">
        <v>9</v>
      </c>
      <c r="H113" s="40" t="s">
        <v>7</v>
      </c>
      <c r="I113" s="36" t="s">
        <v>105</v>
      </c>
      <c r="J113" s="38" t="s">
        <v>10</v>
      </c>
      <c r="K113" s="10" t="s">
        <v>11</v>
      </c>
      <c r="L113" s="38" t="s">
        <v>5</v>
      </c>
      <c r="M113" s="39" t="s">
        <v>101</v>
      </c>
      <c r="N113" s="39" t="s">
        <v>102</v>
      </c>
      <c r="O113" s="39" t="s">
        <v>103</v>
      </c>
      <c r="P113" s="37" t="s">
        <v>104</v>
      </c>
      <c r="Q113" s="37" t="s">
        <v>106</v>
      </c>
      <c r="R113" s="37" t="s">
        <v>201</v>
      </c>
      <c r="S113" s="39" t="s">
        <v>177</v>
      </c>
      <c r="T113" s="39" t="s">
        <v>173</v>
      </c>
      <c r="U113" s="53">
        <v>1</v>
      </c>
      <c r="V113" s="53">
        <v>2</v>
      </c>
      <c r="W113" s="53">
        <v>3</v>
      </c>
      <c r="X113" s="53">
        <v>4</v>
      </c>
      <c r="Y113" s="53">
        <v>5</v>
      </c>
      <c r="Z113" s="53">
        <v>6</v>
      </c>
      <c r="AA113" s="53">
        <v>7</v>
      </c>
      <c r="AB113" s="53">
        <v>8</v>
      </c>
      <c r="AC113" s="53">
        <v>9</v>
      </c>
      <c r="AD113" s="53">
        <v>10</v>
      </c>
      <c r="AE113" s="53">
        <v>11</v>
      </c>
      <c r="AF113" s="53">
        <v>12</v>
      </c>
      <c r="AG113" s="53">
        <v>13</v>
      </c>
      <c r="AH113" s="54">
        <v>14</v>
      </c>
      <c r="AI113" s="54">
        <v>15</v>
      </c>
      <c r="AJ113" s="54">
        <v>16</v>
      </c>
      <c r="AK113" s="54">
        <v>17</v>
      </c>
      <c r="AL113" s="54">
        <v>18</v>
      </c>
      <c r="AM113" s="54">
        <v>19</v>
      </c>
      <c r="AN113" s="54">
        <v>20</v>
      </c>
      <c r="AO113" s="54">
        <v>21</v>
      </c>
      <c r="AP113" s="54">
        <v>22</v>
      </c>
      <c r="AQ113" s="54">
        <v>23</v>
      </c>
      <c r="AR113" s="54">
        <v>24</v>
      </c>
      <c r="AS113" s="54">
        <v>25</v>
      </c>
      <c r="AT113" s="54">
        <v>26</v>
      </c>
      <c r="AU113" s="55">
        <v>27</v>
      </c>
      <c r="AV113" s="55">
        <v>28</v>
      </c>
      <c r="AW113" s="55">
        <v>29</v>
      </c>
      <c r="AX113" s="55">
        <v>30</v>
      </c>
      <c r="AY113" s="55">
        <v>31</v>
      </c>
      <c r="AZ113" s="55">
        <v>32</v>
      </c>
      <c r="BA113" s="55">
        <v>33</v>
      </c>
      <c r="CH113"/>
      <c r="CI113"/>
    </row>
    <row r="114" spans="1:724" ht="21.75" customHeight="1">
      <c r="A114" s="28">
        <v>4</v>
      </c>
      <c r="B114" s="58">
        <v>5305218</v>
      </c>
      <c r="C114" s="27" t="s">
        <v>21</v>
      </c>
      <c r="D114" s="78" t="s">
        <v>50</v>
      </c>
      <c r="E114" s="62">
        <v>73</v>
      </c>
      <c r="F114" s="31">
        <f>VLOOKUP(B114,'Estampados por manguera'!A$2:B$500,2,FALSE)</f>
        <v>1</v>
      </c>
      <c r="G114" s="31">
        <f t="shared" ref="G114:G136" si="104">F114*E114</f>
        <v>73</v>
      </c>
      <c r="H114" s="20">
        <v>6</v>
      </c>
      <c r="I114" s="29">
        <f t="shared" ref="I114:I136" si="105">H114*G114</f>
        <v>438</v>
      </c>
      <c r="J114" s="32">
        <f t="shared" ref="J114:J136" si="106">IF(G114&lt;1,0,180)</f>
        <v>180</v>
      </c>
      <c r="K114" s="31">
        <f t="shared" ref="K114:K136" si="107">I114+J114</f>
        <v>618</v>
      </c>
      <c r="L114" s="11">
        <v>1200</v>
      </c>
      <c r="M114" s="31">
        <f>VLOOKUP(B114,'Mangueras por contenedor'!A$2:B$500,2,FALSE)</f>
        <v>80</v>
      </c>
      <c r="N114" s="35">
        <f t="shared" ref="N114:N136" si="108">E114/M114</f>
        <v>0.91249999999999998</v>
      </c>
      <c r="O114" s="11">
        <f>IF(N114&gt;=0.8,1,IF((N114*2)&gt;=0.8,2,IF((N114*3)&gt;=0.8,3,IF((N114*4)&gt;=0.8,4,IF((N114*5)&gt;=0.8,5,IF((N114*6)&gt;=0.8,6,IF((N114*7)&gt;=0.8,7,IF((N114*8)&gt;=0.8,8,IF((N114*9)&gt;=0.8,9,IF((N114*10)&gt;=0.8,10,IF((N114*11)&gt;=0.8,11,IF((N114*12)&gt;=0.8,12,IF((N114*13)&gt;=0.8,13,IF((N114*14)&gt;=0.8,14,(IF((N114*15)&gt;=0.8,15,IF((N114*16)&gt;=0.8,16,IF((N114*17)&gt;=0.8,17,IF((N114*18)&gt;=0.8,18,IF((N114*19)&gt;=0.8,19,IF((N114*20)&gt;=0.8,20,IF((N114*21)&gt;=0.8,21,IF((N114*22)&gt;=0.8,22,IF((N114*23)&gt;=0.8,23,IF((N114*24)&gt;=0.8,24,IF((N114*25)&gt;=0.8,25,IF((N114*26)&gt;=0.8,26,IF((N114*27)&gt;=0.8,27,IF((N114*28)&gt;=0.8,28,IF((N114*29)&gt;=0.8,29,IF((N114*30)&gt;=0.8,30,IF((N114*31)&gt;=0.8,31,IF((N114*32)&gt;=0.8,32,IF((N114*33)&gt;=0.8,33,33))))))))))))))))))))))))))))))))))</f>
        <v>1</v>
      </c>
      <c r="P114" s="11">
        <f t="shared" ref="P114:P136" si="109">F114*H114*M114</f>
        <v>480</v>
      </c>
      <c r="Q114" s="11">
        <f t="shared" ref="Q114:Q136" si="110">IF(M114&gt;=100,1,IF((M114*2)&gt;=100,2,IF((M114*3)&gt;=100,3,IF((M114*4)&gt;=100,4,5))))</f>
        <v>2</v>
      </c>
      <c r="R114" s="32">
        <f t="shared" ref="R114:R136" si="111">P114*Q114</f>
        <v>960</v>
      </c>
      <c r="S114" s="32">
        <f t="shared" ref="S114:S136" si="112">IF((O114*Q114)&lt;33,(O114*Q114),33)</f>
        <v>2</v>
      </c>
      <c r="T114" s="32">
        <f t="shared" ref="T114:T136" si="113">M114*Q114</f>
        <v>160</v>
      </c>
      <c r="U114" s="59" t="str">
        <f t="shared" ref="U114:AD123" si="114">IF(OR(U$113/$S114=1,U$113/$S114=2,U$113/$S114=3,U$113/$S114=4,U$113/$S114=5,U$113/$S114=6,U$113/$S114=7,U$113/$S114=8,U$113/$S114=9,U$113/$S114=10,U$113/$S114=11,U$113/$S114=12,U$113/$S114=13,U$113/$S114=14,U$113/$S114=15,U$113/$S114=16,U$113/$S114=17,U$113/$S114=18,U$113/$S114=19,U$113/$S114=20,U$113/$S114=21,U$113/$S114=22,U$113/$S114=23,U$113/$S114=24,U$113/$S114=25,U$113/$S114=26,U$113/$S114=27,U$113/$S114=28,U$113/$S114=29,U$113/$S114=30,U$113/$S114=31,U$113/$S114=32,U$113/$S114=33),"X","")</f>
        <v/>
      </c>
      <c r="V114" s="59" t="str">
        <f t="shared" si="114"/>
        <v>X</v>
      </c>
      <c r="W114" s="59" t="str">
        <f t="shared" si="114"/>
        <v/>
      </c>
      <c r="X114" s="59" t="str">
        <f t="shared" si="114"/>
        <v>X</v>
      </c>
      <c r="Y114" s="59" t="str">
        <f t="shared" si="114"/>
        <v/>
      </c>
      <c r="Z114" s="59" t="str">
        <f t="shared" si="114"/>
        <v>X</v>
      </c>
      <c r="AA114" s="59" t="str">
        <f t="shared" si="114"/>
        <v/>
      </c>
      <c r="AB114" s="59" t="str">
        <f t="shared" si="114"/>
        <v>X</v>
      </c>
      <c r="AC114" s="59" t="str">
        <f t="shared" si="114"/>
        <v/>
      </c>
      <c r="AD114" s="59" t="str">
        <f t="shared" si="114"/>
        <v>X</v>
      </c>
      <c r="AE114" s="59" t="str">
        <f t="shared" ref="AE114:AN123" si="115">IF(OR(AE$113/$S114=1,AE$113/$S114=2,AE$113/$S114=3,AE$113/$S114=4,AE$113/$S114=5,AE$113/$S114=6,AE$113/$S114=7,AE$113/$S114=8,AE$113/$S114=9,AE$113/$S114=10,AE$113/$S114=11,AE$113/$S114=12,AE$113/$S114=13,AE$113/$S114=14,AE$113/$S114=15,AE$113/$S114=16,AE$113/$S114=17,AE$113/$S114=18,AE$113/$S114=19,AE$113/$S114=20,AE$113/$S114=21,AE$113/$S114=22,AE$113/$S114=23,AE$113/$S114=24,AE$113/$S114=25,AE$113/$S114=26,AE$113/$S114=27,AE$113/$S114=28,AE$113/$S114=29,AE$113/$S114=30,AE$113/$S114=31,AE$113/$S114=32,AE$113/$S114=33),"X","")</f>
        <v/>
      </c>
      <c r="AF114" s="59" t="str">
        <f t="shared" si="115"/>
        <v>X</v>
      </c>
      <c r="AG114" s="59" t="str">
        <f t="shared" si="115"/>
        <v/>
      </c>
      <c r="AH114" s="67" t="str">
        <f t="shared" si="115"/>
        <v>X</v>
      </c>
      <c r="AI114" s="67" t="str">
        <f t="shared" si="115"/>
        <v/>
      </c>
      <c r="AJ114" s="67" t="str">
        <f t="shared" si="115"/>
        <v>X</v>
      </c>
      <c r="AK114" s="67" t="str">
        <f t="shared" si="115"/>
        <v/>
      </c>
      <c r="AL114" s="67" t="str">
        <f t="shared" si="115"/>
        <v>X</v>
      </c>
      <c r="AM114" s="67" t="str">
        <f t="shared" si="115"/>
        <v/>
      </c>
      <c r="AN114" s="67" t="str">
        <f t="shared" si="115"/>
        <v>X</v>
      </c>
      <c r="AO114" s="67" t="str">
        <f t="shared" ref="AO114:BA123" si="116">IF(OR(AO$113/$S114=1,AO$113/$S114=2,AO$113/$S114=3,AO$113/$S114=4,AO$113/$S114=5,AO$113/$S114=6,AO$113/$S114=7,AO$113/$S114=8,AO$113/$S114=9,AO$113/$S114=10,AO$113/$S114=11,AO$113/$S114=12,AO$113/$S114=13,AO$113/$S114=14,AO$113/$S114=15,AO$113/$S114=16,AO$113/$S114=17,AO$113/$S114=18,AO$113/$S114=19,AO$113/$S114=20,AO$113/$S114=21,AO$113/$S114=22,AO$113/$S114=23,AO$113/$S114=24,AO$113/$S114=25,AO$113/$S114=26,AO$113/$S114=27,AO$113/$S114=28,AO$113/$S114=29,AO$113/$S114=30,AO$113/$S114=31,AO$113/$S114=32,AO$113/$S114=33),"X","")</f>
        <v/>
      </c>
      <c r="AP114" s="67" t="str">
        <f t="shared" si="116"/>
        <v>X</v>
      </c>
      <c r="AQ114" s="67" t="str">
        <f t="shared" si="116"/>
        <v/>
      </c>
      <c r="AR114" s="67" t="str">
        <f t="shared" si="116"/>
        <v>X</v>
      </c>
      <c r="AS114" s="67" t="str">
        <f t="shared" si="116"/>
        <v/>
      </c>
      <c r="AT114" s="67" t="str">
        <f t="shared" si="116"/>
        <v>X</v>
      </c>
      <c r="AU114" s="68" t="str">
        <f t="shared" si="116"/>
        <v/>
      </c>
      <c r="AV114" s="68" t="str">
        <f t="shared" si="116"/>
        <v>X</v>
      </c>
      <c r="AW114" s="68" t="str">
        <f t="shared" si="116"/>
        <v/>
      </c>
      <c r="AX114" s="68" t="str">
        <f t="shared" si="116"/>
        <v>X</v>
      </c>
      <c r="AY114" s="68" t="str">
        <f t="shared" si="116"/>
        <v/>
      </c>
      <c r="AZ114" s="68" t="str">
        <f t="shared" si="116"/>
        <v>X</v>
      </c>
      <c r="BA114" s="68" t="str">
        <f t="shared" si="116"/>
        <v/>
      </c>
    </row>
    <row r="115" spans="1:724" s="6" customFormat="1" ht="21.75" customHeight="1" thickBot="1">
      <c r="A115" s="28">
        <v>4</v>
      </c>
      <c r="B115" s="58">
        <v>5205366</v>
      </c>
      <c r="C115" s="27" t="s">
        <v>195</v>
      </c>
      <c r="D115" s="78" t="s">
        <v>50</v>
      </c>
      <c r="E115" s="62">
        <v>48</v>
      </c>
      <c r="F115" s="31">
        <f>VLOOKUP(B115,'Estampados por manguera'!A$2:B$500,2,FALSE)</f>
        <v>2</v>
      </c>
      <c r="G115" s="31">
        <f t="shared" si="104"/>
        <v>96</v>
      </c>
      <c r="H115" s="20">
        <v>6</v>
      </c>
      <c r="I115" s="29">
        <f t="shared" si="105"/>
        <v>576</v>
      </c>
      <c r="J115" s="32">
        <f t="shared" si="106"/>
        <v>180</v>
      </c>
      <c r="K115" s="31">
        <f t="shared" si="107"/>
        <v>756</v>
      </c>
      <c r="L115" s="11">
        <v>1200</v>
      </c>
      <c r="M115" s="31">
        <f>VLOOKUP(B115,'Mangueras por contenedor'!A$2:B$500,2,FALSE)</f>
        <v>50</v>
      </c>
      <c r="N115" s="35">
        <f t="shared" si="108"/>
        <v>0.96</v>
      </c>
      <c r="O115" s="11">
        <f>IF(N115&gt;=0.8,1,IF((N115*2)&gt;=0.8,2,IF((N115*3)&gt;=0.8,3,IF((N115*4)&gt;=0.8,4,IF((N115*5)&gt;=0.8,5,IF((N115*6)&gt;=0.8,6,IF((N115*7)&gt;=0.8,7,IF((N115*8)&gt;=0.8,8,IF((N115*9)&gt;=0.8,9,IF((N115*10)&gt;=0.8,10,IF((N115*11)&gt;=0.8,11,IF((N115*12)&gt;=0.8,12,IF((N115*13)&gt;=0.8,13,IF((N115*14)&gt;=0.8,14,(IF((N115*15)&gt;=0.8,15,IF((N115*16)&gt;=0.8,16,IF((N115*17)&gt;=0.8,17,IF((N115*18)&gt;=0.8,18,IF((N115*19)&gt;=0.8,19,IF((N115*20)&gt;=0.8,20,IF((N115*21)&gt;=0.8,21,IF((N115*22)&gt;=0.8,22,IF((N115*23)&gt;=0.8,23,IF((N115*24)&gt;=0.8,24,IF((N115*25)&gt;=0.8,25,IF((N115*26)&gt;=0.8,26,IF((N115*27)&gt;=0.8,27,IF((N115*28)&gt;=0.8,28,IF((N115*29)&gt;=0.8,29,IF((N115*30)&gt;=0.8,30,IF((N115*31)&gt;=0.8,31,IF((N115*32)&gt;=0.8,32,IF((N115*33)&gt;=0.8,33,33))))))))))))))))))))))))))))))))))</f>
        <v>1</v>
      </c>
      <c r="P115" s="11">
        <f t="shared" si="109"/>
        <v>600</v>
      </c>
      <c r="Q115" s="11">
        <f t="shared" si="110"/>
        <v>2</v>
      </c>
      <c r="R115" s="32">
        <f t="shared" si="111"/>
        <v>1200</v>
      </c>
      <c r="S115" s="32">
        <f t="shared" si="112"/>
        <v>2</v>
      </c>
      <c r="T115" s="32">
        <f t="shared" si="113"/>
        <v>100</v>
      </c>
      <c r="U115" s="59" t="str">
        <f t="shared" si="114"/>
        <v/>
      </c>
      <c r="V115" s="59" t="str">
        <f t="shared" si="114"/>
        <v>X</v>
      </c>
      <c r="W115" s="59" t="str">
        <f t="shared" si="114"/>
        <v/>
      </c>
      <c r="X115" s="59" t="str">
        <f t="shared" si="114"/>
        <v>X</v>
      </c>
      <c r="Y115" s="59" t="str">
        <f t="shared" si="114"/>
        <v/>
      </c>
      <c r="Z115" s="59" t="str">
        <f t="shared" si="114"/>
        <v>X</v>
      </c>
      <c r="AA115" s="59" t="str">
        <f t="shared" si="114"/>
        <v/>
      </c>
      <c r="AB115" s="59" t="str">
        <f t="shared" si="114"/>
        <v>X</v>
      </c>
      <c r="AC115" s="59" t="str">
        <f t="shared" si="114"/>
        <v/>
      </c>
      <c r="AD115" s="59" t="str">
        <f t="shared" si="114"/>
        <v>X</v>
      </c>
      <c r="AE115" s="59" t="str">
        <f t="shared" si="115"/>
        <v/>
      </c>
      <c r="AF115" s="59" t="str">
        <f t="shared" si="115"/>
        <v>X</v>
      </c>
      <c r="AG115" s="59" t="str">
        <f t="shared" si="115"/>
        <v/>
      </c>
      <c r="AH115" s="67" t="str">
        <f t="shared" si="115"/>
        <v>X</v>
      </c>
      <c r="AI115" s="67" t="str">
        <f t="shared" si="115"/>
        <v/>
      </c>
      <c r="AJ115" s="67" t="str">
        <f t="shared" si="115"/>
        <v>X</v>
      </c>
      <c r="AK115" s="67" t="str">
        <f t="shared" si="115"/>
        <v/>
      </c>
      <c r="AL115" s="67" t="str">
        <f t="shared" si="115"/>
        <v>X</v>
      </c>
      <c r="AM115" s="67" t="str">
        <f t="shared" si="115"/>
        <v/>
      </c>
      <c r="AN115" s="67" t="str">
        <f t="shared" si="115"/>
        <v>X</v>
      </c>
      <c r="AO115" s="67" t="str">
        <f t="shared" si="116"/>
        <v/>
      </c>
      <c r="AP115" s="67" t="str">
        <f t="shared" si="116"/>
        <v>X</v>
      </c>
      <c r="AQ115" s="67" t="str">
        <f t="shared" si="116"/>
        <v/>
      </c>
      <c r="AR115" s="67" t="str">
        <f t="shared" si="116"/>
        <v>X</v>
      </c>
      <c r="AS115" s="67" t="str">
        <f t="shared" si="116"/>
        <v/>
      </c>
      <c r="AT115" s="67" t="str">
        <f t="shared" si="116"/>
        <v>X</v>
      </c>
      <c r="AU115" s="68" t="str">
        <f t="shared" si="116"/>
        <v/>
      </c>
      <c r="AV115" s="68" t="str">
        <f t="shared" si="116"/>
        <v>X</v>
      </c>
      <c r="AW115" s="68" t="str">
        <f t="shared" si="116"/>
        <v/>
      </c>
      <c r="AX115" s="68" t="str">
        <f t="shared" si="116"/>
        <v>X</v>
      </c>
      <c r="AY115" s="68" t="str">
        <f t="shared" si="116"/>
        <v/>
      </c>
      <c r="AZ115" s="68" t="str">
        <f t="shared" si="116"/>
        <v>X</v>
      </c>
      <c r="BA115" s="68" t="str">
        <f t="shared" si="116"/>
        <v/>
      </c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</row>
    <row r="116" spans="1:724" ht="21.75" customHeight="1">
      <c r="A116" s="28">
        <v>4</v>
      </c>
      <c r="B116" s="58">
        <v>5305415</v>
      </c>
      <c r="C116" s="27" t="s">
        <v>87</v>
      </c>
      <c r="D116" s="78" t="s">
        <v>50</v>
      </c>
      <c r="E116" s="62">
        <v>36</v>
      </c>
      <c r="F116" s="31">
        <f>VLOOKUP(B116,'Estampados por manguera'!A$2:B$500,2,FALSE)</f>
        <v>1</v>
      </c>
      <c r="G116" s="31">
        <f t="shared" si="104"/>
        <v>36</v>
      </c>
      <c r="H116" s="20">
        <v>6</v>
      </c>
      <c r="I116" s="29">
        <f t="shared" si="105"/>
        <v>216</v>
      </c>
      <c r="J116" s="32">
        <f t="shared" si="106"/>
        <v>180</v>
      </c>
      <c r="K116" s="31">
        <f t="shared" si="107"/>
        <v>396</v>
      </c>
      <c r="L116" s="11">
        <v>1200</v>
      </c>
      <c r="M116" s="31">
        <f>VLOOKUP(B116,'Mangueras por contenedor'!A$2:B$500,2,FALSE)</f>
        <v>45</v>
      </c>
      <c r="N116" s="35">
        <f t="shared" si="108"/>
        <v>0.8</v>
      </c>
      <c r="O116" s="11">
        <f>IF(N116&gt;=0.8,1,IF((N116*2)&gt;=0.8,2,IF((N116*3)&gt;=0.8,3,IF((N116*4)&gt;=0.8,4,IF((N116*5)&gt;=0.8,5,IF((N116*6)&gt;=0.8,6,IF((N116*7)&gt;=0.8,7,IF((N116*8)&gt;=0.8,8,IF((N116*9)&gt;=0.8,9,IF((N116*10)&gt;=0.8,10,IF((N116*11)&gt;=0.8,11,IF((N116*12)&gt;=0.8,12,IF((N116*13)&gt;=0.8,13,IF((N116*14)&gt;=0.8,14,(IF((N116*15)&gt;=0.8,15,IF((N116*16)&gt;=0.8,16,IF((N116*17)&gt;=0.8,17,IF((N116*18)&gt;=0.8,18,IF((N116*19)&gt;=0.8,19,IF((N116*20)&gt;=0.8,20,IF((N116*21)&gt;=0.8,21,IF((N116*22)&gt;=0.8,22,IF((N116*23)&gt;=0.8,23,IF((N116*24)&gt;=0.8,24,IF((N116*25)&gt;=0.8,25,IF((N116*26)&gt;=0.8,26,IF((N116*27)&gt;=0.8,27,IF((N116*28)&gt;=0.8,28,IF((N116*29)&gt;=0.8,29,IF((N116*30)&gt;=0.8,30,IF((N116*31)&gt;=0.8,31,IF((N116*32)&gt;=0.8,32,IF((N116*33)&gt;=0.8,33,33))))))))))))))))))))))))))))))))))</f>
        <v>1</v>
      </c>
      <c r="P116" s="11">
        <f t="shared" si="109"/>
        <v>270</v>
      </c>
      <c r="Q116" s="11">
        <f t="shared" si="110"/>
        <v>3</v>
      </c>
      <c r="R116" s="32">
        <f t="shared" si="111"/>
        <v>810</v>
      </c>
      <c r="S116" s="32">
        <f t="shared" si="112"/>
        <v>3</v>
      </c>
      <c r="T116" s="32">
        <f t="shared" si="113"/>
        <v>135</v>
      </c>
      <c r="U116" s="59" t="str">
        <f t="shared" si="114"/>
        <v/>
      </c>
      <c r="V116" s="59" t="str">
        <f t="shared" si="114"/>
        <v/>
      </c>
      <c r="W116" s="59" t="str">
        <f t="shared" si="114"/>
        <v>X</v>
      </c>
      <c r="X116" s="59" t="str">
        <f t="shared" si="114"/>
        <v/>
      </c>
      <c r="Y116" s="59" t="str">
        <f t="shared" si="114"/>
        <v/>
      </c>
      <c r="Z116" s="59" t="str">
        <f t="shared" si="114"/>
        <v>X</v>
      </c>
      <c r="AA116" s="59" t="str">
        <f t="shared" si="114"/>
        <v/>
      </c>
      <c r="AB116" s="59" t="str">
        <f t="shared" si="114"/>
        <v/>
      </c>
      <c r="AC116" s="59" t="str">
        <f t="shared" si="114"/>
        <v>X</v>
      </c>
      <c r="AD116" s="59" t="str">
        <f t="shared" si="114"/>
        <v/>
      </c>
      <c r="AE116" s="59" t="str">
        <f t="shared" si="115"/>
        <v/>
      </c>
      <c r="AF116" s="59" t="str">
        <f t="shared" si="115"/>
        <v>X</v>
      </c>
      <c r="AG116" s="59" t="str">
        <f t="shared" si="115"/>
        <v/>
      </c>
      <c r="AH116" s="67" t="str">
        <f t="shared" si="115"/>
        <v/>
      </c>
      <c r="AI116" s="67" t="str">
        <f t="shared" si="115"/>
        <v>X</v>
      </c>
      <c r="AJ116" s="67" t="str">
        <f t="shared" si="115"/>
        <v/>
      </c>
      <c r="AK116" s="67" t="str">
        <f t="shared" si="115"/>
        <v/>
      </c>
      <c r="AL116" s="67" t="str">
        <f t="shared" si="115"/>
        <v>X</v>
      </c>
      <c r="AM116" s="67" t="str">
        <f t="shared" si="115"/>
        <v/>
      </c>
      <c r="AN116" s="67" t="str">
        <f t="shared" si="115"/>
        <v/>
      </c>
      <c r="AO116" s="67" t="str">
        <f t="shared" si="116"/>
        <v>X</v>
      </c>
      <c r="AP116" s="67" t="str">
        <f t="shared" si="116"/>
        <v/>
      </c>
      <c r="AQ116" s="67" t="str">
        <f t="shared" si="116"/>
        <v/>
      </c>
      <c r="AR116" s="67" t="str">
        <f t="shared" si="116"/>
        <v>X</v>
      </c>
      <c r="AS116" s="67" t="str">
        <f t="shared" si="116"/>
        <v/>
      </c>
      <c r="AT116" s="67" t="str">
        <f t="shared" si="116"/>
        <v/>
      </c>
      <c r="AU116" s="68" t="str">
        <f t="shared" si="116"/>
        <v>X</v>
      </c>
      <c r="AV116" s="68" t="str">
        <f t="shared" si="116"/>
        <v/>
      </c>
      <c r="AW116" s="68" t="str">
        <f t="shared" si="116"/>
        <v/>
      </c>
      <c r="AX116" s="68" t="str">
        <f t="shared" si="116"/>
        <v>X</v>
      </c>
      <c r="AY116" s="68" t="str">
        <f t="shared" si="116"/>
        <v/>
      </c>
      <c r="AZ116" s="68" t="str">
        <f t="shared" si="116"/>
        <v/>
      </c>
      <c r="BA116" s="68" t="str">
        <f t="shared" si="116"/>
        <v>X</v>
      </c>
      <c r="ZW116" s="60"/>
      <c r="ZX116" s="60"/>
      <c r="ZY116" s="60"/>
      <c r="ZZ116" s="60"/>
      <c r="AAA116" s="60"/>
      <c r="AAB116" s="60"/>
      <c r="AAC116" s="60"/>
      <c r="AAD116" s="60"/>
      <c r="AAE116" s="60"/>
      <c r="AAF116" s="60"/>
      <c r="AAG116" s="60"/>
      <c r="AAH116" s="60"/>
      <c r="AAI116" s="60"/>
      <c r="AAJ116" s="60"/>
      <c r="AAK116" s="60"/>
      <c r="AAL116" s="60"/>
      <c r="AAM116" s="60"/>
      <c r="AAN116" s="60"/>
      <c r="AAO116" s="60"/>
      <c r="AAP116" s="60"/>
      <c r="AAQ116" s="60"/>
      <c r="AAR116" s="60"/>
      <c r="AAS116" s="60"/>
      <c r="AAT116" s="60"/>
      <c r="AAU116" s="60"/>
      <c r="AAV116" s="60"/>
    </row>
    <row r="117" spans="1:724" ht="21" customHeight="1">
      <c r="A117" s="28">
        <v>4</v>
      </c>
      <c r="B117" s="58">
        <v>5205213</v>
      </c>
      <c r="C117" s="27" t="s">
        <v>98</v>
      </c>
      <c r="D117" s="78" t="s">
        <v>50</v>
      </c>
      <c r="E117" s="62">
        <v>70</v>
      </c>
      <c r="F117" s="31">
        <f>VLOOKUP(B117,'Estampados por manguera'!A$2:B$500,2,FALSE)</f>
        <v>2</v>
      </c>
      <c r="G117" s="31">
        <f t="shared" si="104"/>
        <v>140</v>
      </c>
      <c r="H117" s="20">
        <v>6</v>
      </c>
      <c r="I117" s="29">
        <f t="shared" si="105"/>
        <v>840</v>
      </c>
      <c r="J117" s="32">
        <f t="shared" si="106"/>
        <v>180</v>
      </c>
      <c r="K117" s="31">
        <f t="shared" si="107"/>
        <v>1020</v>
      </c>
      <c r="L117" s="11">
        <v>1200</v>
      </c>
      <c r="M117" s="31">
        <f>VLOOKUP(B117,'Mangueras por contenedor'!A$2:B$500,2,FALSE)</f>
        <v>45</v>
      </c>
      <c r="N117" s="35">
        <f t="shared" si="108"/>
        <v>1.5555555555555556</v>
      </c>
      <c r="O117" s="11">
        <f>IF(N117&gt;=0.8,1,IF((N117*2)&gt;=0.8,2,IF((N117*3)&gt;=0.8,3,IF((N117*4)&gt;=0.8,4,IF((N117*5)&gt;=0.8,5,IF((N117*6)&gt;=0.8,6,IF((N117*7)&gt;=0.8,7,IF((N117*8)&gt;=0.8,8,IF((N117*9)&gt;=0.8,9,IF((N117*10)&gt;=0.8,10,IF((N117*11)&gt;=0.8,11,IF((N117*12)&gt;=0.8,12,IF((N117*13)&gt;=0.8,13,IF((N117*14)&gt;=0.8,14,(IF((N117*15)&gt;=0.8,15,IF((N117*16)&gt;=0.8,16,IF((N117*17)&gt;=0.8,17,IF((N117*18)&gt;=0.8,18,IF((N117*19)&gt;=0.8,19,IF((N117*20)&gt;=0.8,20,IF((N117*21)&gt;=0.8,21,IF((N117*22)&gt;=0.8,22,IF((N117*23)&gt;=0.8,23,IF((N117*24)&gt;=0.8,24,IF((N117*25)&gt;=0.8,25,IF((N117*26)&gt;=0.8,26,IF((N117*27)&gt;=0.8,27,IF((N117*28)&gt;=0.8,28,IF((N117*29)&gt;=0.8,29,IF((N117*30)&gt;=0.8,30,IF((N117*31)&gt;=0.8,31,IF((N117*32)&gt;=0.8,32,IF((N117*33)&gt;=0.8,33,33))))))))))))))))))))))))))))))))))</f>
        <v>1</v>
      </c>
      <c r="P117" s="11">
        <f t="shared" si="109"/>
        <v>540</v>
      </c>
      <c r="Q117" s="11">
        <f t="shared" si="110"/>
        <v>3</v>
      </c>
      <c r="R117" s="32">
        <f t="shared" si="111"/>
        <v>1620</v>
      </c>
      <c r="S117" s="32">
        <f t="shared" si="112"/>
        <v>3</v>
      </c>
      <c r="T117" s="32">
        <f t="shared" si="113"/>
        <v>135</v>
      </c>
      <c r="U117" s="59" t="str">
        <f t="shared" si="114"/>
        <v/>
      </c>
      <c r="V117" s="59" t="str">
        <f t="shared" si="114"/>
        <v/>
      </c>
      <c r="W117" s="59" t="str">
        <f t="shared" si="114"/>
        <v>X</v>
      </c>
      <c r="X117" s="59" t="str">
        <f t="shared" si="114"/>
        <v/>
      </c>
      <c r="Y117" s="59" t="str">
        <f t="shared" si="114"/>
        <v/>
      </c>
      <c r="Z117" s="59" t="str">
        <f t="shared" si="114"/>
        <v>X</v>
      </c>
      <c r="AA117" s="59" t="str">
        <f t="shared" si="114"/>
        <v/>
      </c>
      <c r="AB117" s="59" t="str">
        <f t="shared" si="114"/>
        <v/>
      </c>
      <c r="AC117" s="59" t="str">
        <f t="shared" si="114"/>
        <v>X</v>
      </c>
      <c r="AD117" s="59" t="str">
        <f t="shared" si="114"/>
        <v/>
      </c>
      <c r="AE117" s="59" t="str">
        <f t="shared" si="115"/>
        <v/>
      </c>
      <c r="AF117" s="59" t="str">
        <f t="shared" si="115"/>
        <v>X</v>
      </c>
      <c r="AG117" s="59" t="str">
        <f t="shared" si="115"/>
        <v/>
      </c>
      <c r="AH117" s="67" t="str">
        <f t="shared" si="115"/>
        <v/>
      </c>
      <c r="AI117" s="67" t="str">
        <f t="shared" si="115"/>
        <v>X</v>
      </c>
      <c r="AJ117" s="67" t="str">
        <f t="shared" si="115"/>
        <v/>
      </c>
      <c r="AK117" s="67" t="str">
        <f t="shared" si="115"/>
        <v/>
      </c>
      <c r="AL117" s="67" t="str">
        <f t="shared" si="115"/>
        <v>X</v>
      </c>
      <c r="AM117" s="67" t="str">
        <f t="shared" si="115"/>
        <v/>
      </c>
      <c r="AN117" s="67" t="str">
        <f t="shared" si="115"/>
        <v/>
      </c>
      <c r="AO117" s="67" t="str">
        <f t="shared" si="116"/>
        <v>X</v>
      </c>
      <c r="AP117" s="67" t="str">
        <f t="shared" si="116"/>
        <v/>
      </c>
      <c r="AQ117" s="67" t="str">
        <f t="shared" si="116"/>
        <v/>
      </c>
      <c r="AR117" s="67" t="str">
        <f t="shared" si="116"/>
        <v>X</v>
      </c>
      <c r="AS117" s="67" t="str">
        <f t="shared" si="116"/>
        <v/>
      </c>
      <c r="AT117" s="67" t="str">
        <f t="shared" si="116"/>
        <v/>
      </c>
      <c r="AU117" s="68" t="str">
        <f t="shared" si="116"/>
        <v>X</v>
      </c>
      <c r="AV117" s="68" t="str">
        <f t="shared" si="116"/>
        <v/>
      </c>
      <c r="AW117" s="68" t="str">
        <f t="shared" si="116"/>
        <v/>
      </c>
      <c r="AX117" s="68" t="str">
        <f t="shared" si="116"/>
        <v>X</v>
      </c>
      <c r="AY117" s="68" t="str">
        <f t="shared" si="116"/>
        <v/>
      </c>
      <c r="AZ117" s="68" t="str">
        <f t="shared" si="116"/>
        <v/>
      </c>
      <c r="BA117" s="68" t="str">
        <f t="shared" si="116"/>
        <v>X</v>
      </c>
      <c r="ZW117" s="60"/>
      <c r="ZX117" s="60"/>
      <c r="ZY117" s="60"/>
      <c r="ZZ117" s="60"/>
      <c r="AAA117" s="60"/>
      <c r="AAB117" s="60"/>
      <c r="AAC117" s="60"/>
      <c r="AAD117" s="60"/>
      <c r="AAE117" s="60"/>
      <c r="AAF117" s="60"/>
      <c r="AAG117" s="60"/>
      <c r="AAH117" s="60"/>
      <c r="AAI117" s="60"/>
      <c r="AAJ117" s="60"/>
      <c r="AAK117" s="60"/>
      <c r="AAL117" s="60"/>
      <c r="AAM117" s="60"/>
      <c r="AAN117" s="60"/>
      <c r="AAO117" s="60"/>
      <c r="AAP117" s="60"/>
      <c r="AAQ117" s="60"/>
      <c r="AAR117" s="60"/>
      <c r="AAS117" s="60"/>
      <c r="AAT117" s="60"/>
      <c r="AAU117" s="60"/>
      <c r="AAV117" s="60"/>
    </row>
    <row r="118" spans="1:724" ht="21" customHeight="1">
      <c r="A118" s="28">
        <v>4</v>
      </c>
      <c r="B118" s="58">
        <v>5305355</v>
      </c>
      <c r="C118" s="27" t="s">
        <v>87</v>
      </c>
      <c r="D118" s="78" t="s">
        <v>50</v>
      </c>
      <c r="E118" s="62">
        <v>32</v>
      </c>
      <c r="F118" s="31">
        <f>VLOOKUP(B118,'Estampados por manguera'!A$2:B$500,2,FALSE)</f>
        <v>1</v>
      </c>
      <c r="G118" s="31">
        <f t="shared" si="104"/>
        <v>32</v>
      </c>
      <c r="H118" s="20">
        <v>6</v>
      </c>
      <c r="I118" s="29">
        <f t="shared" si="105"/>
        <v>192</v>
      </c>
      <c r="J118" s="32">
        <f t="shared" si="106"/>
        <v>180</v>
      </c>
      <c r="K118" s="31">
        <f t="shared" si="107"/>
        <v>372</v>
      </c>
      <c r="L118" s="11">
        <v>1200</v>
      </c>
      <c r="M118" s="31">
        <f>VLOOKUP(B118,'Mangueras por contenedor'!A$2:B$500,2,FALSE)</f>
        <v>60</v>
      </c>
      <c r="N118" s="35">
        <f t="shared" si="108"/>
        <v>0.53333333333333333</v>
      </c>
      <c r="O118" s="11">
        <f>IF(N118&gt;=0.8,1,IF((N118*2)&gt;=0.8,2,IF((N118*3)&gt;=0.8,3,IF((N118*4)&gt;=0.8,4,IF((N118*5)&gt;=0.8,5,IF((N118*6)&gt;=0.8,6,IF((N118*7)&gt;=0.8,7,IF((N118*8)&gt;=0.8,8,IF((N118*9)&gt;=0.8,9,IF((N118*10)&gt;=0.8,10,IF((N118*11)&gt;=0.8,11,IF((N118*12)&gt;=0.8,12,IF((N118*13)&gt;=0.8,13,IF((N118*14)&gt;=0.8,14,(IF((N118*15)&gt;=0.8,15,IF((N118*16)&gt;=0.8,16,IF((N118*17)&gt;=0.8,17,IF((N118*18)&gt;=0.8,18,IF((N118*19)&gt;=0.8,19,IF((N118*20)&gt;=0.8,20,IF((N118*21)&gt;=0.8,21,IF((N118*22)&gt;=0.8,22,IF((N118*23)&gt;=0.8,23,IF((N118*24)&gt;=0.8,24,IF((N118*25)&gt;=0.8,25,IF((N118*26)&gt;=0.8,26,IF((N118*27)&gt;=0.8,27,IF((N118*28)&gt;=0.8,28,IF((N118*29)&gt;=0.8,29,IF((N118*30)&gt;=0.8,30,IF((N118*31)&gt;=0.8,31,IF((N118*32)&gt;=0.8,32,IF((N118*33)&gt;=0.8,33,33))))))))))))))))))))))))))))))))))</f>
        <v>2</v>
      </c>
      <c r="P118" s="11">
        <f t="shared" si="109"/>
        <v>360</v>
      </c>
      <c r="Q118" s="11">
        <f t="shared" si="110"/>
        <v>2</v>
      </c>
      <c r="R118" s="32">
        <f t="shared" si="111"/>
        <v>720</v>
      </c>
      <c r="S118" s="32">
        <f t="shared" si="112"/>
        <v>4</v>
      </c>
      <c r="T118" s="32">
        <f t="shared" si="113"/>
        <v>120</v>
      </c>
      <c r="U118" s="59" t="str">
        <f t="shared" si="114"/>
        <v/>
      </c>
      <c r="V118" s="59" t="str">
        <f t="shared" si="114"/>
        <v/>
      </c>
      <c r="W118" s="59" t="str">
        <f t="shared" si="114"/>
        <v/>
      </c>
      <c r="X118" s="59" t="str">
        <f t="shared" si="114"/>
        <v>X</v>
      </c>
      <c r="Y118" s="59" t="str">
        <f t="shared" si="114"/>
        <v/>
      </c>
      <c r="Z118" s="59" t="str">
        <f t="shared" si="114"/>
        <v/>
      </c>
      <c r="AA118" s="59" t="str">
        <f t="shared" si="114"/>
        <v/>
      </c>
      <c r="AB118" s="59" t="str">
        <f t="shared" si="114"/>
        <v>X</v>
      </c>
      <c r="AC118" s="59" t="str">
        <f t="shared" si="114"/>
        <v/>
      </c>
      <c r="AD118" s="59" t="str">
        <f t="shared" si="114"/>
        <v/>
      </c>
      <c r="AE118" s="59" t="str">
        <f t="shared" si="115"/>
        <v/>
      </c>
      <c r="AF118" s="59" t="str">
        <f t="shared" si="115"/>
        <v>X</v>
      </c>
      <c r="AG118" s="59" t="str">
        <f t="shared" si="115"/>
        <v/>
      </c>
      <c r="AH118" s="67" t="str">
        <f t="shared" si="115"/>
        <v/>
      </c>
      <c r="AI118" s="67" t="str">
        <f t="shared" si="115"/>
        <v/>
      </c>
      <c r="AJ118" s="67" t="str">
        <f t="shared" si="115"/>
        <v>X</v>
      </c>
      <c r="AK118" s="67" t="str">
        <f t="shared" si="115"/>
        <v/>
      </c>
      <c r="AL118" s="67" t="str">
        <f t="shared" si="115"/>
        <v/>
      </c>
      <c r="AM118" s="67" t="str">
        <f t="shared" si="115"/>
        <v/>
      </c>
      <c r="AN118" s="67" t="str">
        <f t="shared" si="115"/>
        <v>X</v>
      </c>
      <c r="AO118" s="67" t="str">
        <f t="shared" si="116"/>
        <v/>
      </c>
      <c r="AP118" s="67" t="str">
        <f t="shared" si="116"/>
        <v/>
      </c>
      <c r="AQ118" s="67" t="str">
        <f t="shared" si="116"/>
        <v/>
      </c>
      <c r="AR118" s="67" t="str">
        <f t="shared" si="116"/>
        <v>X</v>
      </c>
      <c r="AS118" s="67" t="str">
        <f t="shared" si="116"/>
        <v/>
      </c>
      <c r="AT118" s="67" t="str">
        <f t="shared" si="116"/>
        <v/>
      </c>
      <c r="AU118" s="68" t="str">
        <f t="shared" si="116"/>
        <v/>
      </c>
      <c r="AV118" s="68" t="str">
        <f t="shared" si="116"/>
        <v>X</v>
      </c>
      <c r="AW118" s="68" t="str">
        <f t="shared" si="116"/>
        <v/>
      </c>
      <c r="AX118" s="68" t="str">
        <f t="shared" si="116"/>
        <v/>
      </c>
      <c r="AY118" s="68" t="str">
        <f t="shared" si="116"/>
        <v/>
      </c>
      <c r="AZ118" s="68" t="str">
        <f t="shared" si="116"/>
        <v>X</v>
      </c>
      <c r="BA118" s="68" t="str">
        <f t="shared" si="116"/>
        <v/>
      </c>
      <c r="ZW118" s="60"/>
      <c r="ZX118" s="60"/>
      <c r="ZY118" s="60"/>
      <c r="ZZ118" s="60"/>
      <c r="AAA118" s="60"/>
      <c r="AAB118" s="60"/>
      <c r="AAC118" s="60"/>
      <c r="AAD118" s="60"/>
      <c r="AAE118" s="60"/>
      <c r="AAF118" s="60"/>
      <c r="AAG118" s="60"/>
      <c r="AAH118" s="60"/>
      <c r="AAI118" s="60"/>
      <c r="AAJ118" s="60"/>
      <c r="AAK118" s="60"/>
      <c r="AAL118" s="60"/>
      <c r="AAM118" s="60"/>
      <c r="AAN118" s="60"/>
      <c r="AAO118" s="60"/>
      <c r="AAP118" s="60"/>
      <c r="AAQ118" s="60"/>
      <c r="AAR118" s="60"/>
      <c r="AAS118" s="60"/>
      <c r="AAT118" s="60"/>
      <c r="AAU118" s="60"/>
      <c r="AAV118" s="60"/>
    </row>
    <row r="119" spans="1:724" s="6" customFormat="1" ht="21" customHeight="1" thickBot="1">
      <c r="A119" s="28">
        <v>4</v>
      </c>
      <c r="B119" s="58">
        <v>5305341</v>
      </c>
      <c r="C119" s="27" t="s">
        <v>87</v>
      </c>
      <c r="D119" s="78" t="s">
        <v>50</v>
      </c>
      <c r="E119" s="62">
        <v>31</v>
      </c>
      <c r="F119" s="31">
        <f>VLOOKUP(B119,'Estampados por manguera'!A$2:B$500,2,FALSE)</f>
        <v>1</v>
      </c>
      <c r="G119" s="31">
        <f t="shared" si="104"/>
        <v>31</v>
      </c>
      <c r="H119" s="20">
        <v>6</v>
      </c>
      <c r="I119" s="29">
        <f t="shared" si="105"/>
        <v>186</v>
      </c>
      <c r="J119" s="32">
        <f t="shared" si="106"/>
        <v>180</v>
      </c>
      <c r="K119" s="31">
        <f t="shared" si="107"/>
        <v>366</v>
      </c>
      <c r="L119" s="11">
        <v>1200</v>
      </c>
      <c r="M119" s="31">
        <f>VLOOKUP(B119,'Mangueras por contenedor'!A$2:B$500,2,FALSE)</f>
        <v>80</v>
      </c>
      <c r="N119" s="35">
        <f t="shared" si="108"/>
        <v>0.38750000000000001</v>
      </c>
      <c r="O119" s="11">
        <v>2</v>
      </c>
      <c r="P119" s="11">
        <f t="shared" si="109"/>
        <v>480</v>
      </c>
      <c r="Q119" s="11">
        <f t="shared" si="110"/>
        <v>2</v>
      </c>
      <c r="R119" s="32">
        <f t="shared" si="111"/>
        <v>960</v>
      </c>
      <c r="S119" s="32">
        <f t="shared" si="112"/>
        <v>4</v>
      </c>
      <c r="T119" s="32">
        <f t="shared" si="113"/>
        <v>160</v>
      </c>
      <c r="U119" s="59" t="str">
        <f t="shared" si="114"/>
        <v/>
      </c>
      <c r="V119" s="59" t="str">
        <f t="shared" si="114"/>
        <v/>
      </c>
      <c r="W119" s="59" t="str">
        <f t="shared" si="114"/>
        <v/>
      </c>
      <c r="X119" s="59" t="str">
        <f t="shared" si="114"/>
        <v>X</v>
      </c>
      <c r="Y119" s="59" t="str">
        <f t="shared" si="114"/>
        <v/>
      </c>
      <c r="Z119" s="59" t="str">
        <f t="shared" si="114"/>
        <v/>
      </c>
      <c r="AA119" s="59" t="str">
        <f t="shared" si="114"/>
        <v/>
      </c>
      <c r="AB119" s="59" t="str">
        <f t="shared" si="114"/>
        <v>X</v>
      </c>
      <c r="AC119" s="59" t="str">
        <f t="shared" si="114"/>
        <v/>
      </c>
      <c r="AD119" s="59" t="str">
        <f t="shared" si="114"/>
        <v/>
      </c>
      <c r="AE119" s="59" t="str">
        <f t="shared" si="115"/>
        <v/>
      </c>
      <c r="AF119" s="59" t="str">
        <f t="shared" si="115"/>
        <v>X</v>
      </c>
      <c r="AG119" s="59" t="str">
        <f t="shared" si="115"/>
        <v/>
      </c>
      <c r="AH119" s="67" t="str">
        <f t="shared" si="115"/>
        <v/>
      </c>
      <c r="AI119" s="67" t="str">
        <f t="shared" si="115"/>
        <v/>
      </c>
      <c r="AJ119" s="67" t="str">
        <f t="shared" si="115"/>
        <v>X</v>
      </c>
      <c r="AK119" s="67" t="str">
        <f t="shared" si="115"/>
        <v/>
      </c>
      <c r="AL119" s="67" t="str">
        <f t="shared" si="115"/>
        <v/>
      </c>
      <c r="AM119" s="67" t="str">
        <f t="shared" si="115"/>
        <v/>
      </c>
      <c r="AN119" s="67" t="str">
        <f t="shared" si="115"/>
        <v>X</v>
      </c>
      <c r="AO119" s="67" t="str">
        <f t="shared" si="116"/>
        <v/>
      </c>
      <c r="AP119" s="67" t="str">
        <f t="shared" si="116"/>
        <v/>
      </c>
      <c r="AQ119" s="67" t="str">
        <f t="shared" si="116"/>
        <v/>
      </c>
      <c r="AR119" s="67" t="str">
        <f t="shared" si="116"/>
        <v>X</v>
      </c>
      <c r="AS119" s="67" t="str">
        <f t="shared" si="116"/>
        <v/>
      </c>
      <c r="AT119" s="67" t="str">
        <f t="shared" si="116"/>
        <v/>
      </c>
      <c r="AU119" s="68" t="str">
        <f t="shared" si="116"/>
        <v/>
      </c>
      <c r="AV119" s="68" t="str">
        <f t="shared" si="116"/>
        <v>X</v>
      </c>
      <c r="AW119" s="68" t="str">
        <f t="shared" si="116"/>
        <v/>
      </c>
      <c r="AX119" s="68" t="str">
        <f t="shared" si="116"/>
        <v/>
      </c>
      <c r="AY119" s="68" t="str">
        <f t="shared" si="116"/>
        <v/>
      </c>
      <c r="AZ119" s="68" t="str">
        <f t="shared" si="116"/>
        <v>X</v>
      </c>
      <c r="BA119" s="68" t="str">
        <f t="shared" si="116"/>
        <v/>
      </c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</row>
    <row r="120" spans="1:724" ht="21" customHeight="1">
      <c r="A120" s="28">
        <v>4</v>
      </c>
      <c r="B120" s="58">
        <v>5305219</v>
      </c>
      <c r="C120" s="27" t="s">
        <v>21</v>
      </c>
      <c r="D120" s="78" t="s">
        <v>50</v>
      </c>
      <c r="E120" s="62">
        <v>41</v>
      </c>
      <c r="F120" s="31">
        <f>VLOOKUP(B120,'Estampados por manguera'!A$2:B$500,2,FALSE)</f>
        <v>1</v>
      </c>
      <c r="G120" s="31">
        <f t="shared" si="104"/>
        <v>41</v>
      </c>
      <c r="H120" s="20">
        <v>6</v>
      </c>
      <c r="I120" s="29">
        <f t="shared" si="105"/>
        <v>246</v>
      </c>
      <c r="J120" s="32">
        <f t="shared" si="106"/>
        <v>180</v>
      </c>
      <c r="K120" s="31">
        <f t="shared" si="107"/>
        <v>426</v>
      </c>
      <c r="L120" s="11">
        <v>1200</v>
      </c>
      <c r="M120" s="31">
        <f>VLOOKUP(B120,'Mangueras por contenedor'!A$2:B$500,2,FALSE)</f>
        <v>90</v>
      </c>
      <c r="N120" s="35">
        <f t="shared" si="108"/>
        <v>0.45555555555555555</v>
      </c>
      <c r="O120" s="11">
        <f t="shared" ref="O120:O125" si="117">IF(N120&gt;=0.8,1,IF((N120*2)&gt;=0.8,2,IF((N120*3)&gt;=0.8,3,IF((N120*4)&gt;=0.8,4,IF((N120*5)&gt;=0.8,5,IF((N120*6)&gt;=0.8,6,IF((N120*7)&gt;=0.8,7,IF((N120*8)&gt;=0.8,8,IF((N120*9)&gt;=0.8,9,IF((N120*10)&gt;=0.8,10,IF((N120*11)&gt;=0.8,11,IF((N120*12)&gt;=0.8,12,IF((N120*13)&gt;=0.8,13,IF((N120*14)&gt;=0.8,14,(IF((N120*15)&gt;=0.8,15,IF((N120*16)&gt;=0.8,16,IF((N120*17)&gt;=0.8,17,IF((N120*18)&gt;=0.8,18,IF((N120*19)&gt;=0.8,19,IF((N120*20)&gt;=0.8,20,IF((N120*21)&gt;=0.8,21,IF((N120*22)&gt;=0.8,22,IF((N120*23)&gt;=0.8,23,IF((N120*24)&gt;=0.8,24,IF((N120*25)&gt;=0.8,25,IF((N120*26)&gt;=0.8,26,IF((N120*27)&gt;=0.8,27,IF((N120*28)&gt;=0.8,28,IF((N120*29)&gt;=0.8,29,IF((N120*30)&gt;=0.8,30,IF((N120*31)&gt;=0.8,31,IF((N120*32)&gt;=0.8,32,IF((N120*33)&gt;=0.8,33,33))))))))))))))))))))))))))))))))))</f>
        <v>2</v>
      </c>
      <c r="P120" s="11">
        <f t="shared" si="109"/>
        <v>540</v>
      </c>
      <c r="Q120" s="11">
        <f t="shared" si="110"/>
        <v>2</v>
      </c>
      <c r="R120" s="32">
        <f t="shared" si="111"/>
        <v>1080</v>
      </c>
      <c r="S120" s="32">
        <f t="shared" si="112"/>
        <v>4</v>
      </c>
      <c r="T120" s="32">
        <f t="shared" si="113"/>
        <v>180</v>
      </c>
      <c r="U120" s="59" t="str">
        <f t="shared" si="114"/>
        <v/>
      </c>
      <c r="V120" s="59" t="str">
        <f t="shared" si="114"/>
        <v/>
      </c>
      <c r="W120" s="59" t="str">
        <f t="shared" si="114"/>
        <v/>
      </c>
      <c r="X120" s="59" t="str">
        <f t="shared" si="114"/>
        <v>X</v>
      </c>
      <c r="Y120" s="59" t="str">
        <f t="shared" si="114"/>
        <v/>
      </c>
      <c r="Z120" s="59" t="str">
        <f t="shared" si="114"/>
        <v/>
      </c>
      <c r="AA120" s="59" t="str">
        <f t="shared" si="114"/>
        <v/>
      </c>
      <c r="AB120" s="59" t="str">
        <f t="shared" si="114"/>
        <v>X</v>
      </c>
      <c r="AC120" s="59" t="str">
        <f t="shared" si="114"/>
        <v/>
      </c>
      <c r="AD120" s="59" t="str">
        <f t="shared" si="114"/>
        <v/>
      </c>
      <c r="AE120" s="59" t="str">
        <f t="shared" si="115"/>
        <v/>
      </c>
      <c r="AF120" s="59" t="str">
        <f t="shared" si="115"/>
        <v>X</v>
      </c>
      <c r="AG120" s="59" t="str">
        <f t="shared" si="115"/>
        <v/>
      </c>
      <c r="AH120" s="67" t="str">
        <f t="shared" si="115"/>
        <v/>
      </c>
      <c r="AI120" s="67" t="str">
        <f t="shared" si="115"/>
        <v/>
      </c>
      <c r="AJ120" s="67" t="str">
        <f t="shared" si="115"/>
        <v>X</v>
      </c>
      <c r="AK120" s="67" t="str">
        <f t="shared" si="115"/>
        <v/>
      </c>
      <c r="AL120" s="67" t="str">
        <f t="shared" si="115"/>
        <v/>
      </c>
      <c r="AM120" s="67" t="str">
        <f t="shared" si="115"/>
        <v/>
      </c>
      <c r="AN120" s="67" t="str">
        <f t="shared" si="115"/>
        <v>X</v>
      </c>
      <c r="AO120" s="67" t="str">
        <f t="shared" si="116"/>
        <v/>
      </c>
      <c r="AP120" s="67" t="str">
        <f t="shared" si="116"/>
        <v/>
      </c>
      <c r="AQ120" s="67" t="str">
        <f t="shared" si="116"/>
        <v/>
      </c>
      <c r="AR120" s="67" t="str">
        <f t="shared" si="116"/>
        <v>X</v>
      </c>
      <c r="AS120" s="67" t="str">
        <f t="shared" si="116"/>
        <v/>
      </c>
      <c r="AT120" s="67" t="str">
        <f t="shared" si="116"/>
        <v/>
      </c>
      <c r="AU120" s="68" t="str">
        <f t="shared" si="116"/>
        <v/>
      </c>
      <c r="AV120" s="68" t="str">
        <f t="shared" si="116"/>
        <v>X</v>
      </c>
      <c r="AW120" s="68" t="str">
        <f t="shared" si="116"/>
        <v/>
      </c>
      <c r="AX120" s="68" t="str">
        <f t="shared" si="116"/>
        <v/>
      </c>
      <c r="AY120" s="68" t="str">
        <f t="shared" si="116"/>
        <v/>
      </c>
      <c r="AZ120" s="68" t="str">
        <f t="shared" si="116"/>
        <v>X</v>
      </c>
      <c r="BA120" s="68" t="str">
        <f t="shared" si="116"/>
        <v/>
      </c>
      <c r="ZW120" s="60"/>
      <c r="ZX120" s="60"/>
      <c r="ZY120" s="60"/>
      <c r="ZZ120" s="60"/>
      <c r="AAA120" s="60"/>
      <c r="AAB120" s="60"/>
      <c r="AAC120" s="60"/>
      <c r="AAD120" s="60"/>
      <c r="AAE120" s="60"/>
      <c r="AAF120" s="60"/>
      <c r="AAG120" s="60"/>
      <c r="AAH120" s="60"/>
      <c r="AAI120" s="60"/>
      <c r="AAJ120" s="60"/>
      <c r="AAK120" s="60"/>
      <c r="AAL120" s="60"/>
      <c r="AAM120" s="60"/>
      <c r="AAN120" s="60"/>
      <c r="AAO120" s="60"/>
      <c r="AAP120" s="60"/>
      <c r="AAQ120" s="60"/>
      <c r="AAR120" s="60"/>
      <c r="AAS120" s="60"/>
      <c r="AAT120" s="60"/>
      <c r="AAU120" s="60"/>
      <c r="AAV120" s="60"/>
    </row>
    <row r="121" spans="1:724" ht="21" customHeight="1">
      <c r="A121" s="28">
        <v>4</v>
      </c>
      <c r="B121" s="58">
        <v>5205217</v>
      </c>
      <c r="C121" s="27" t="s">
        <v>44</v>
      </c>
      <c r="D121" s="78" t="s">
        <v>50</v>
      </c>
      <c r="E121" s="62">
        <v>48</v>
      </c>
      <c r="F121" s="31">
        <f>VLOOKUP(B121,'Estampados por manguera'!A$2:B$500,2,FALSE)</f>
        <v>2</v>
      </c>
      <c r="G121" s="31">
        <f t="shared" si="104"/>
        <v>96</v>
      </c>
      <c r="H121" s="20">
        <v>6</v>
      </c>
      <c r="I121" s="29">
        <f t="shared" si="105"/>
        <v>576</v>
      </c>
      <c r="J121" s="32">
        <f t="shared" si="106"/>
        <v>180</v>
      </c>
      <c r="K121" s="31">
        <f t="shared" si="107"/>
        <v>756</v>
      </c>
      <c r="L121" s="11">
        <v>1200</v>
      </c>
      <c r="M121" s="31">
        <f>VLOOKUP(B121,'Mangueras por contenedor'!A$2:B$500,2,FALSE)</f>
        <v>70</v>
      </c>
      <c r="N121" s="35">
        <f t="shared" si="108"/>
        <v>0.68571428571428572</v>
      </c>
      <c r="O121" s="11">
        <f t="shared" si="117"/>
        <v>2</v>
      </c>
      <c r="P121" s="11">
        <f t="shared" si="109"/>
        <v>840</v>
      </c>
      <c r="Q121" s="11">
        <f t="shared" si="110"/>
        <v>2</v>
      </c>
      <c r="R121" s="32">
        <f t="shared" si="111"/>
        <v>1680</v>
      </c>
      <c r="S121" s="32">
        <f t="shared" si="112"/>
        <v>4</v>
      </c>
      <c r="T121" s="32">
        <f t="shared" si="113"/>
        <v>140</v>
      </c>
      <c r="U121" s="59" t="str">
        <f t="shared" si="114"/>
        <v/>
      </c>
      <c r="V121" s="59" t="str">
        <f t="shared" si="114"/>
        <v/>
      </c>
      <c r="W121" s="59" t="str">
        <f t="shared" si="114"/>
        <v/>
      </c>
      <c r="X121" s="59" t="str">
        <f t="shared" si="114"/>
        <v>X</v>
      </c>
      <c r="Y121" s="59" t="str">
        <f t="shared" si="114"/>
        <v/>
      </c>
      <c r="Z121" s="59" t="str">
        <f t="shared" si="114"/>
        <v/>
      </c>
      <c r="AA121" s="59" t="str">
        <f t="shared" si="114"/>
        <v/>
      </c>
      <c r="AB121" s="59" t="str">
        <f t="shared" si="114"/>
        <v>X</v>
      </c>
      <c r="AC121" s="59" t="str">
        <f t="shared" si="114"/>
        <v/>
      </c>
      <c r="AD121" s="59" t="str">
        <f t="shared" si="114"/>
        <v/>
      </c>
      <c r="AE121" s="59" t="str">
        <f t="shared" si="115"/>
        <v/>
      </c>
      <c r="AF121" s="59" t="str">
        <f t="shared" si="115"/>
        <v>X</v>
      </c>
      <c r="AG121" s="59" t="str">
        <f t="shared" si="115"/>
        <v/>
      </c>
      <c r="AH121" s="67" t="str">
        <f t="shared" si="115"/>
        <v/>
      </c>
      <c r="AI121" s="67" t="str">
        <f t="shared" si="115"/>
        <v/>
      </c>
      <c r="AJ121" s="67" t="str">
        <f t="shared" si="115"/>
        <v>X</v>
      </c>
      <c r="AK121" s="67" t="str">
        <f t="shared" si="115"/>
        <v/>
      </c>
      <c r="AL121" s="67" t="str">
        <f t="shared" si="115"/>
        <v/>
      </c>
      <c r="AM121" s="67" t="str">
        <f t="shared" si="115"/>
        <v/>
      </c>
      <c r="AN121" s="67" t="str">
        <f t="shared" si="115"/>
        <v>X</v>
      </c>
      <c r="AO121" s="67" t="str">
        <f t="shared" si="116"/>
        <v/>
      </c>
      <c r="AP121" s="67" t="str">
        <f t="shared" si="116"/>
        <v/>
      </c>
      <c r="AQ121" s="67" t="str">
        <f t="shared" si="116"/>
        <v/>
      </c>
      <c r="AR121" s="67" t="str">
        <f t="shared" si="116"/>
        <v>X</v>
      </c>
      <c r="AS121" s="67" t="str">
        <f t="shared" si="116"/>
        <v/>
      </c>
      <c r="AT121" s="67" t="str">
        <f t="shared" si="116"/>
        <v/>
      </c>
      <c r="AU121" s="68" t="str">
        <f t="shared" si="116"/>
        <v/>
      </c>
      <c r="AV121" s="68" t="str">
        <f t="shared" si="116"/>
        <v>X</v>
      </c>
      <c r="AW121" s="68" t="str">
        <f t="shared" si="116"/>
        <v/>
      </c>
      <c r="AX121" s="68" t="str">
        <f t="shared" si="116"/>
        <v/>
      </c>
      <c r="AY121" s="68" t="str">
        <f t="shared" si="116"/>
        <v/>
      </c>
      <c r="AZ121" s="68" t="str">
        <f t="shared" si="116"/>
        <v>X</v>
      </c>
      <c r="BA121" s="68" t="str">
        <f t="shared" si="116"/>
        <v/>
      </c>
    </row>
    <row r="122" spans="1:724" s="6" customFormat="1" ht="21" customHeight="1" thickBot="1">
      <c r="A122" s="28">
        <v>4</v>
      </c>
      <c r="B122" s="58">
        <v>5305300</v>
      </c>
      <c r="C122" s="27" t="s">
        <v>20</v>
      </c>
      <c r="D122" s="78" t="s">
        <v>50</v>
      </c>
      <c r="E122" s="62">
        <v>31</v>
      </c>
      <c r="F122" s="31">
        <f>VLOOKUP(B122,'Estampados por manguera'!A$2:B$500,2,FALSE)</f>
        <v>1</v>
      </c>
      <c r="G122" s="31">
        <f t="shared" si="104"/>
        <v>31</v>
      </c>
      <c r="H122" s="20">
        <v>6</v>
      </c>
      <c r="I122" s="29">
        <f t="shared" si="105"/>
        <v>186</v>
      </c>
      <c r="J122" s="32">
        <f t="shared" si="106"/>
        <v>180</v>
      </c>
      <c r="K122" s="31">
        <f t="shared" si="107"/>
        <v>366</v>
      </c>
      <c r="L122" s="11">
        <v>1200</v>
      </c>
      <c r="M122" s="31">
        <f>VLOOKUP(B122,'Mangueras por contenedor'!A$2:B$500,2,FALSE)</f>
        <v>150</v>
      </c>
      <c r="N122" s="35">
        <f t="shared" si="108"/>
        <v>0.20666666666666667</v>
      </c>
      <c r="O122" s="11">
        <f t="shared" si="117"/>
        <v>4</v>
      </c>
      <c r="P122" s="11">
        <f t="shared" si="109"/>
        <v>900</v>
      </c>
      <c r="Q122" s="11">
        <f t="shared" si="110"/>
        <v>1</v>
      </c>
      <c r="R122" s="32">
        <f t="shared" si="111"/>
        <v>900</v>
      </c>
      <c r="S122" s="32">
        <f t="shared" si="112"/>
        <v>4</v>
      </c>
      <c r="T122" s="32">
        <f t="shared" si="113"/>
        <v>150</v>
      </c>
      <c r="U122" s="59" t="str">
        <f t="shared" si="114"/>
        <v/>
      </c>
      <c r="V122" s="59" t="str">
        <f t="shared" si="114"/>
        <v/>
      </c>
      <c r="W122" s="59" t="str">
        <f t="shared" si="114"/>
        <v/>
      </c>
      <c r="X122" s="59" t="str">
        <f t="shared" si="114"/>
        <v>X</v>
      </c>
      <c r="Y122" s="59" t="str">
        <f t="shared" si="114"/>
        <v/>
      </c>
      <c r="Z122" s="59" t="str">
        <f t="shared" si="114"/>
        <v/>
      </c>
      <c r="AA122" s="59" t="str">
        <f t="shared" si="114"/>
        <v/>
      </c>
      <c r="AB122" s="59" t="str">
        <f t="shared" si="114"/>
        <v>X</v>
      </c>
      <c r="AC122" s="59" t="str">
        <f t="shared" si="114"/>
        <v/>
      </c>
      <c r="AD122" s="59" t="str">
        <f t="shared" si="114"/>
        <v/>
      </c>
      <c r="AE122" s="59" t="str">
        <f t="shared" si="115"/>
        <v/>
      </c>
      <c r="AF122" s="59" t="str">
        <f t="shared" si="115"/>
        <v>X</v>
      </c>
      <c r="AG122" s="59" t="str">
        <f t="shared" si="115"/>
        <v/>
      </c>
      <c r="AH122" s="67" t="str">
        <f t="shared" si="115"/>
        <v/>
      </c>
      <c r="AI122" s="67" t="str">
        <f t="shared" si="115"/>
        <v/>
      </c>
      <c r="AJ122" s="67" t="str">
        <f t="shared" si="115"/>
        <v>X</v>
      </c>
      <c r="AK122" s="67" t="str">
        <f t="shared" si="115"/>
        <v/>
      </c>
      <c r="AL122" s="67" t="str">
        <f t="shared" si="115"/>
        <v/>
      </c>
      <c r="AM122" s="67" t="str">
        <f t="shared" si="115"/>
        <v/>
      </c>
      <c r="AN122" s="67" t="str">
        <f t="shared" si="115"/>
        <v>X</v>
      </c>
      <c r="AO122" s="67" t="str">
        <f t="shared" si="116"/>
        <v/>
      </c>
      <c r="AP122" s="67" t="str">
        <f t="shared" si="116"/>
        <v/>
      </c>
      <c r="AQ122" s="67" t="str">
        <f t="shared" si="116"/>
        <v/>
      </c>
      <c r="AR122" s="67" t="str">
        <f t="shared" si="116"/>
        <v>X</v>
      </c>
      <c r="AS122" s="67" t="str">
        <f t="shared" si="116"/>
        <v/>
      </c>
      <c r="AT122" s="67" t="str">
        <f t="shared" si="116"/>
        <v/>
      </c>
      <c r="AU122" s="68" t="str">
        <f t="shared" si="116"/>
        <v/>
      </c>
      <c r="AV122" s="68" t="str">
        <f t="shared" si="116"/>
        <v>X</v>
      </c>
      <c r="AW122" s="68" t="str">
        <f t="shared" si="116"/>
        <v/>
      </c>
      <c r="AX122" s="68" t="str">
        <f t="shared" si="116"/>
        <v/>
      </c>
      <c r="AY122" s="68" t="str">
        <f t="shared" si="116"/>
        <v/>
      </c>
      <c r="AZ122" s="68" t="str">
        <f t="shared" si="116"/>
        <v>X</v>
      </c>
      <c r="BA122" s="68" t="str">
        <f t="shared" si="116"/>
        <v/>
      </c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</row>
    <row r="123" spans="1:724" ht="21" customHeight="1">
      <c r="A123" s="28">
        <v>4</v>
      </c>
      <c r="B123" s="58">
        <v>5205236</v>
      </c>
      <c r="C123" s="27" t="s">
        <v>78</v>
      </c>
      <c r="D123" s="78" t="s">
        <v>50</v>
      </c>
      <c r="E123" s="62">
        <v>22</v>
      </c>
      <c r="F123" s="31">
        <f>VLOOKUP(B123,'Estampados por manguera'!A$2:B$500,2,FALSE)</f>
        <v>2</v>
      </c>
      <c r="G123" s="31">
        <f t="shared" si="104"/>
        <v>44</v>
      </c>
      <c r="H123" s="20">
        <v>6</v>
      </c>
      <c r="I123" s="29">
        <f t="shared" si="105"/>
        <v>264</v>
      </c>
      <c r="J123" s="32">
        <f t="shared" si="106"/>
        <v>180</v>
      </c>
      <c r="K123" s="31">
        <f t="shared" si="107"/>
        <v>444</v>
      </c>
      <c r="L123" s="11">
        <v>1200</v>
      </c>
      <c r="M123" s="31">
        <f>VLOOKUP(B123,'Mangueras por contenedor'!A$2:B$500,2,FALSE)</f>
        <v>55</v>
      </c>
      <c r="N123" s="35">
        <f t="shared" si="108"/>
        <v>0.4</v>
      </c>
      <c r="O123" s="11">
        <f t="shared" si="117"/>
        <v>2</v>
      </c>
      <c r="P123" s="11">
        <f t="shared" si="109"/>
        <v>660</v>
      </c>
      <c r="Q123" s="11">
        <f t="shared" si="110"/>
        <v>2</v>
      </c>
      <c r="R123" s="32">
        <f t="shared" si="111"/>
        <v>1320</v>
      </c>
      <c r="S123" s="32">
        <f t="shared" si="112"/>
        <v>4</v>
      </c>
      <c r="T123" s="32">
        <f t="shared" si="113"/>
        <v>110</v>
      </c>
      <c r="U123" s="59" t="str">
        <f t="shared" si="114"/>
        <v/>
      </c>
      <c r="V123" s="59" t="str">
        <f t="shared" si="114"/>
        <v/>
      </c>
      <c r="W123" s="59" t="str">
        <f t="shared" si="114"/>
        <v/>
      </c>
      <c r="X123" s="59" t="str">
        <f t="shared" si="114"/>
        <v>X</v>
      </c>
      <c r="Y123" s="59" t="str">
        <f t="shared" si="114"/>
        <v/>
      </c>
      <c r="Z123" s="59" t="str">
        <f t="shared" si="114"/>
        <v/>
      </c>
      <c r="AA123" s="59" t="str">
        <f t="shared" si="114"/>
        <v/>
      </c>
      <c r="AB123" s="59" t="str">
        <f t="shared" si="114"/>
        <v>X</v>
      </c>
      <c r="AC123" s="59" t="str">
        <f t="shared" si="114"/>
        <v/>
      </c>
      <c r="AD123" s="59" t="str">
        <f t="shared" si="114"/>
        <v/>
      </c>
      <c r="AE123" s="59" t="str">
        <f t="shared" si="115"/>
        <v/>
      </c>
      <c r="AF123" s="59" t="str">
        <f t="shared" si="115"/>
        <v>X</v>
      </c>
      <c r="AG123" s="59" t="str">
        <f t="shared" si="115"/>
        <v/>
      </c>
      <c r="AH123" s="67" t="str">
        <f t="shared" si="115"/>
        <v/>
      </c>
      <c r="AI123" s="67" t="str">
        <f t="shared" si="115"/>
        <v/>
      </c>
      <c r="AJ123" s="67" t="str">
        <f t="shared" si="115"/>
        <v>X</v>
      </c>
      <c r="AK123" s="67" t="str">
        <f t="shared" si="115"/>
        <v/>
      </c>
      <c r="AL123" s="67" t="str">
        <f t="shared" si="115"/>
        <v/>
      </c>
      <c r="AM123" s="67" t="str">
        <f t="shared" si="115"/>
        <v/>
      </c>
      <c r="AN123" s="67" t="str">
        <f t="shared" si="115"/>
        <v>X</v>
      </c>
      <c r="AO123" s="67" t="str">
        <f t="shared" si="116"/>
        <v/>
      </c>
      <c r="AP123" s="67" t="str">
        <f t="shared" si="116"/>
        <v/>
      </c>
      <c r="AQ123" s="67" t="str">
        <f t="shared" si="116"/>
        <v/>
      </c>
      <c r="AR123" s="67" t="str">
        <f t="shared" si="116"/>
        <v>X</v>
      </c>
      <c r="AS123" s="67" t="str">
        <f t="shared" si="116"/>
        <v/>
      </c>
      <c r="AT123" s="67" t="str">
        <f t="shared" si="116"/>
        <v/>
      </c>
      <c r="AU123" s="68" t="str">
        <f t="shared" si="116"/>
        <v/>
      </c>
      <c r="AV123" s="68" t="str">
        <f t="shared" si="116"/>
        <v>X</v>
      </c>
      <c r="AW123" s="68" t="str">
        <f t="shared" si="116"/>
        <v/>
      </c>
      <c r="AX123" s="68" t="str">
        <f t="shared" si="116"/>
        <v/>
      </c>
      <c r="AY123" s="68" t="str">
        <f t="shared" si="116"/>
        <v/>
      </c>
      <c r="AZ123" s="68" t="str">
        <f t="shared" si="116"/>
        <v>X</v>
      </c>
      <c r="BA123" s="68" t="str">
        <f t="shared" si="116"/>
        <v/>
      </c>
      <c r="ZW123" s="60"/>
      <c r="ZX123" s="60"/>
      <c r="ZY123" s="60"/>
      <c r="ZZ123" s="60"/>
      <c r="AAA123" s="60"/>
      <c r="AAB123" s="60"/>
      <c r="AAC123" s="60"/>
      <c r="AAD123" s="60"/>
      <c r="AAE123" s="60"/>
      <c r="AAF123" s="60"/>
      <c r="AAG123" s="60"/>
      <c r="AAH123" s="60"/>
      <c r="AAI123" s="60"/>
      <c r="AAJ123" s="60"/>
      <c r="AAK123" s="60"/>
      <c r="AAL123" s="60"/>
      <c r="AAM123" s="60"/>
      <c r="AAN123" s="60"/>
      <c r="AAO123" s="60"/>
      <c r="AAP123" s="60"/>
      <c r="AAQ123" s="60"/>
      <c r="AAR123" s="60"/>
      <c r="AAS123" s="60"/>
      <c r="AAT123" s="60"/>
      <c r="AAU123" s="60"/>
      <c r="AAV123" s="60"/>
    </row>
    <row r="124" spans="1:724" ht="21" customHeight="1">
      <c r="A124" s="28">
        <v>4</v>
      </c>
      <c r="B124" s="58">
        <v>5205234</v>
      </c>
      <c r="C124" s="27" t="s">
        <v>79</v>
      </c>
      <c r="D124" s="78" t="s">
        <v>50</v>
      </c>
      <c r="E124" s="62">
        <v>22</v>
      </c>
      <c r="F124" s="31">
        <f>VLOOKUP(B124,'Estampados por manguera'!A$2:B$500,2,FALSE)</f>
        <v>2</v>
      </c>
      <c r="G124" s="31">
        <f t="shared" si="104"/>
        <v>44</v>
      </c>
      <c r="H124" s="20">
        <v>6</v>
      </c>
      <c r="I124" s="29">
        <f t="shared" si="105"/>
        <v>264</v>
      </c>
      <c r="J124" s="32">
        <f t="shared" si="106"/>
        <v>180</v>
      </c>
      <c r="K124" s="31">
        <f t="shared" si="107"/>
        <v>444</v>
      </c>
      <c r="L124" s="11">
        <v>1200</v>
      </c>
      <c r="M124" s="31">
        <f>VLOOKUP(B124,'Mangueras por contenedor'!A$2:B$500,2,FALSE)</f>
        <v>50</v>
      </c>
      <c r="N124" s="35">
        <f t="shared" si="108"/>
        <v>0.44</v>
      </c>
      <c r="O124" s="11">
        <f t="shared" si="117"/>
        <v>2</v>
      </c>
      <c r="P124" s="11">
        <f t="shared" si="109"/>
        <v>600</v>
      </c>
      <c r="Q124" s="11">
        <f t="shared" si="110"/>
        <v>2</v>
      </c>
      <c r="R124" s="32">
        <f t="shared" si="111"/>
        <v>1200</v>
      </c>
      <c r="S124" s="32">
        <f t="shared" si="112"/>
        <v>4</v>
      </c>
      <c r="T124" s="32">
        <f t="shared" si="113"/>
        <v>100</v>
      </c>
      <c r="U124" s="59" t="str">
        <f t="shared" ref="U124:AD136" si="118">IF(OR(U$113/$S124=1,U$113/$S124=2,U$113/$S124=3,U$113/$S124=4,U$113/$S124=5,U$113/$S124=6,U$113/$S124=7,U$113/$S124=8,U$113/$S124=9,U$113/$S124=10,U$113/$S124=11,U$113/$S124=12,U$113/$S124=13,U$113/$S124=14,U$113/$S124=15,U$113/$S124=16,U$113/$S124=17,U$113/$S124=18,U$113/$S124=19,U$113/$S124=20,U$113/$S124=21,U$113/$S124=22,U$113/$S124=23,U$113/$S124=24,U$113/$S124=25,U$113/$S124=26,U$113/$S124=27,U$113/$S124=28,U$113/$S124=29,U$113/$S124=30,U$113/$S124=31,U$113/$S124=32,U$113/$S124=33),"X","")</f>
        <v/>
      </c>
      <c r="V124" s="59" t="str">
        <f t="shared" si="118"/>
        <v/>
      </c>
      <c r="W124" s="59" t="str">
        <f t="shared" si="118"/>
        <v/>
      </c>
      <c r="X124" s="59" t="str">
        <f t="shared" si="118"/>
        <v>X</v>
      </c>
      <c r="Y124" s="59" t="str">
        <f t="shared" si="118"/>
        <v/>
      </c>
      <c r="Z124" s="59" t="str">
        <f t="shared" si="118"/>
        <v/>
      </c>
      <c r="AA124" s="59" t="str">
        <f t="shared" si="118"/>
        <v/>
      </c>
      <c r="AB124" s="59" t="str">
        <f t="shared" si="118"/>
        <v>X</v>
      </c>
      <c r="AC124" s="59" t="str">
        <f t="shared" si="118"/>
        <v/>
      </c>
      <c r="AD124" s="59" t="str">
        <f t="shared" si="118"/>
        <v/>
      </c>
      <c r="AE124" s="59" t="str">
        <f t="shared" ref="AE124:AN136" si="119">IF(OR(AE$113/$S124=1,AE$113/$S124=2,AE$113/$S124=3,AE$113/$S124=4,AE$113/$S124=5,AE$113/$S124=6,AE$113/$S124=7,AE$113/$S124=8,AE$113/$S124=9,AE$113/$S124=10,AE$113/$S124=11,AE$113/$S124=12,AE$113/$S124=13,AE$113/$S124=14,AE$113/$S124=15,AE$113/$S124=16,AE$113/$S124=17,AE$113/$S124=18,AE$113/$S124=19,AE$113/$S124=20,AE$113/$S124=21,AE$113/$S124=22,AE$113/$S124=23,AE$113/$S124=24,AE$113/$S124=25,AE$113/$S124=26,AE$113/$S124=27,AE$113/$S124=28,AE$113/$S124=29,AE$113/$S124=30,AE$113/$S124=31,AE$113/$S124=32,AE$113/$S124=33),"X","")</f>
        <v/>
      </c>
      <c r="AF124" s="59" t="str">
        <f t="shared" si="119"/>
        <v>X</v>
      </c>
      <c r="AG124" s="59" t="str">
        <f t="shared" si="119"/>
        <v/>
      </c>
      <c r="AH124" s="67" t="str">
        <f t="shared" si="119"/>
        <v/>
      </c>
      <c r="AI124" s="67" t="str">
        <f t="shared" si="119"/>
        <v/>
      </c>
      <c r="AJ124" s="67" t="str">
        <f t="shared" si="119"/>
        <v>X</v>
      </c>
      <c r="AK124" s="67" t="str">
        <f t="shared" si="119"/>
        <v/>
      </c>
      <c r="AL124" s="67" t="str">
        <f t="shared" si="119"/>
        <v/>
      </c>
      <c r="AM124" s="67" t="str">
        <f t="shared" si="119"/>
        <v/>
      </c>
      <c r="AN124" s="67" t="str">
        <f t="shared" si="119"/>
        <v>X</v>
      </c>
      <c r="AO124" s="67" t="str">
        <f t="shared" ref="AO124:BA136" si="120">IF(OR(AO$113/$S124=1,AO$113/$S124=2,AO$113/$S124=3,AO$113/$S124=4,AO$113/$S124=5,AO$113/$S124=6,AO$113/$S124=7,AO$113/$S124=8,AO$113/$S124=9,AO$113/$S124=10,AO$113/$S124=11,AO$113/$S124=12,AO$113/$S124=13,AO$113/$S124=14,AO$113/$S124=15,AO$113/$S124=16,AO$113/$S124=17,AO$113/$S124=18,AO$113/$S124=19,AO$113/$S124=20,AO$113/$S124=21,AO$113/$S124=22,AO$113/$S124=23,AO$113/$S124=24,AO$113/$S124=25,AO$113/$S124=26,AO$113/$S124=27,AO$113/$S124=28,AO$113/$S124=29,AO$113/$S124=30,AO$113/$S124=31,AO$113/$S124=32,AO$113/$S124=33),"X","")</f>
        <v/>
      </c>
      <c r="AP124" s="67" t="str">
        <f t="shared" si="120"/>
        <v/>
      </c>
      <c r="AQ124" s="67" t="str">
        <f t="shared" si="120"/>
        <v/>
      </c>
      <c r="AR124" s="67" t="str">
        <f t="shared" si="120"/>
        <v>X</v>
      </c>
      <c r="AS124" s="67" t="str">
        <f t="shared" si="120"/>
        <v/>
      </c>
      <c r="AT124" s="67" t="str">
        <f t="shared" si="120"/>
        <v/>
      </c>
      <c r="AU124" s="68" t="str">
        <f t="shared" si="120"/>
        <v/>
      </c>
      <c r="AV124" s="68" t="str">
        <f t="shared" si="120"/>
        <v>X</v>
      </c>
      <c r="AW124" s="68" t="str">
        <f t="shared" si="120"/>
        <v/>
      </c>
      <c r="AX124" s="68" t="str">
        <f t="shared" si="120"/>
        <v/>
      </c>
      <c r="AY124" s="68" t="str">
        <f t="shared" si="120"/>
        <v/>
      </c>
      <c r="AZ124" s="68" t="str">
        <f t="shared" si="120"/>
        <v>X</v>
      </c>
      <c r="BA124" s="68" t="str">
        <f t="shared" si="120"/>
        <v/>
      </c>
      <c r="ZW124" s="60"/>
      <c r="ZX124" s="60"/>
      <c r="ZY124" s="60"/>
      <c r="ZZ124" s="60"/>
      <c r="AAA124" s="60"/>
      <c r="AAB124" s="60"/>
      <c r="AAC124" s="60"/>
      <c r="AAD124" s="60"/>
      <c r="AAE124" s="60"/>
      <c r="AAF124" s="60"/>
      <c r="AAG124" s="60"/>
      <c r="AAH124" s="60"/>
      <c r="AAI124" s="60"/>
      <c r="AAJ124" s="60"/>
      <c r="AAK124" s="60"/>
      <c r="AAL124" s="60"/>
      <c r="AAM124" s="60"/>
      <c r="AAN124" s="60"/>
      <c r="AAO124" s="60"/>
      <c r="AAP124" s="60"/>
      <c r="AAQ124" s="60"/>
      <c r="AAR124" s="60"/>
      <c r="AAS124" s="60"/>
      <c r="AAT124" s="60"/>
      <c r="AAU124" s="60"/>
      <c r="AAV124" s="60"/>
    </row>
    <row r="125" spans="1:724" ht="21" customHeight="1">
      <c r="A125" s="28">
        <v>4</v>
      </c>
      <c r="B125" s="58">
        <v>5205273</v>
      </c>
      <c r="C125" s="27" t="s">
        <v>69</v>
      </c>
      <c r="D125" s="78" t="s">
        <v>50</v>
      </c>
      <c r="E125" s="62">
        <v>32</v>
      </c>
      <c r="F125" s="31">
        <f>VLOOKUP(B125,'Estampados por manguera'!A$2:B$500,2,FALSE)</f>
        <v>2</v>
      </c>
      <c r="G125" s="31">
        <f t="shared" si="104"/>
        <v>64</v>
      </c>
      <c r="H125" s="20">
        <v>6</v>
      </c>
      <c r="I125" s="29">
        <f t="shared" si="105"/>
        <v>384</v>
      </c>
      <c r="J125" s="32">
        <f t="shared" si="106"/>
        <v>180</v>
      </c>
      <c r="K125" s="31">
        <f t="shared" si="107"/>
        <v>564</v>
      </c>
      <c r="L125" s="11">
        <v>1200</v>
      </c>
      <c r="M125" s="31">
        <f>VLOOKUP(B125,'Mangueras por contenedor'!A$2:B$500,2,FALSE)</f>
        <v>150</v>
      </c>
      <c r="N125" s="35">
        <f t="shared" si="108"/>
        <v>0.21333333333333335</v>
      </c>
      <c r="O125" s="11">
        <f t="shared" si="117"/>
        <v>4</v>
      </c>
      <c r="P125" s="11">
        <f t="shared" si="109"/>
        <v>1800</v>
      </c>
      <c r="Q125" s="11">
        <f t="shared" si="110"/>
        <v>1</v>
      </c>
      <c r="R125" s="32">
        <f t="shared" si="111"/>
        <v>1800</v>
      </c>
      <c r="S125" s="32">
        <f t="shared" si="112"/>
        <v>4</v>
      </c>
      <c r="T125" s="32">
        <f t="shared" si="113"/>
        <v>150</v>
      </c>
      <c r="U125" s="59" t="str">
        <f t="shared" si="118"/>
        <v/>
      </c>
      <c r="V125" s="59" t="str">
        <f t="shared" si="118"/>
        <v/>
      </c>
      <c r="W125" s="59" t="str">
        <f t="shared" si="118"/>
        <v/>
      </c>
      <c r="X125" s="59" t="str">
        <f t="shared" si="118"/>
        <v>X</v>
      </c>
      <c r="Y125" s="59" t="str">
        <f t="shared" si="118"/>
        <v/>
      </c>
      <c r="Z125" s="59" t="str">
        <f t="shared" si="118"/>
        <v/>
      </c>
      <c r="AA125" s="59" t="str">
        <f t="shared" si="118"/>
        <v/>
      </c>
      <c r="AB125" s="59" t="str">
        <f t="shared" si="118"/>
        <v>X</v>
      </c>
      <c r="AC125" s="59" t="str">
        <f t="shared" si="118"/>
        <v/>
      </c>
      <c r="AD125" s="59" t="str">
        <f t="shared" si="118"/>
        <v/>
      </c>
      <c r="AE125" s="59" t="str">
        <f t="shared" si="119"/>
        <v/>
      </c>
      <c r="AF125" s="59" t="str">
        <f t="shared" si="119"/>
        <v>X</v>
      </c>
      <c r="AG125" s="59" t="str">
        <f t="shared" si="119"/>
        <v/>
      </c>
      <c r="AH125" s="67" t="str">
        <f t="shared" si="119"/>
        <v/>
      </c>
      <c r="AI125" s="67" t="str">
        <f t="shared" si="119"/>
        <v/>
      </c>
      <c r="AJ125" s="67" t="str">
        <f t="shared" si="119"/>
        <v>X</v>
      </c>
      <c r="AK125" s="67" t="str">
        <f t="shared" si="119"/>
        <v/>
      </c>
      <c r="AL125" s="67" t="str">
        <f t="shared" si="119"/>
        <v/>
      </c>
      <c r="AM125" s="67" t="str">
        <f t="shared" si="119"/>
        <v/>
      </c>
      <c r="AN125" s="67" t="str">
        <f t="shared" si="119"/>
        <v>X</v>
      </c>
      <c r="AO125" s="67" t="str">
        <f t="shared" si="120"/>
        <v/>
      </c>
      <c r="AP125" s="67" t="str">
        <f t="shared" si="120"/>
        <v/>
      </c>
      <c r="AQ125" s="67" t="str">
        <f t="shared" si="120"/>
        <v/>
      </c>
      <c r="AR125" s="67" t="str">
        <f t="shared" si="120"/>
        <v>X</v>
      </c>
      <c r="AS125" s="67" t="str">
        <f t="shared" si="120"/>
        <v/>
      </c>
      <c r="AT125" s="67" t="str">
        <f t="shared" si="120"/>
        <v/>
      </c>
      <c r="AU125" s="68" t="str">
        <f t="shared" si="120"/>
        <v/>
      </c>
      <c r="AV125" s="68" t="str">
        <f t="shared" si="120"/>
        <v>X</v>
      </c>
      <c r="AW125" s="68" t="str">
        <f t="shared" si="120"/>
        <v/>
      </c>
      <c r="AX125" s="68" t="str">
        <f t="shared" si="120"/>
        <v/>
      </c>
      <c r="AY125" s="68" t="str">
        <f t="shared" si="120"/>
        <v/>
      </c>
      <c r="AZ125" s="68" t="str">
        <f t="shared" si="120"/>
        <v>X</v>
      </c>
      <c r="BA125" s="68" t="str">
        <f t="shared" si="120"/>
        <v/>
      </c>
      <c r="ZW125" s="60"/>
      <c r="ZX125" s="60"/>
      <c r="ZY125" s="60"/>
      <c r="ZZ125" s="60"/>
      <c r="AAA125" s="60"/>
      <c r="AAB125" s="60"/>
      <c r="AAC125" s="60"/>
      <c r="AAD125" s="60"/>
      <c r="AAE125" s="60"/>
      <c r="AAF125" s="60"/>
      <c r="AAG125" s="60"/>
      <c r="AAH125" s="60"/>
      <c r="AAI125" s="60"/>
      <c r="AAJ125" s="60"/>
      <c r="AAK125" s="60"/>
      <c r="AAL125" s="60"/>
      <c r="AAM125" s="60"/>
      <c r="AAN125" s="60"/>
      <c r="AAO125" s="60"/>
      <c r="AAP125" s="60"/>
      <c r="AAQ125" s="60"/>
      <c r="AAR125" s="60"/>
      <c r="AAS125" s="60"/>
      <c r="AAT125" s="60"/>
      <c r="AAU125" s="60"/>
      <c r="AAV125" s="60"/>
    </row>
    <row r="126" spans="1:724" ht="21" customHeight="1">
      <c r="A126" s="28">
        <v>4</v>
      </c>
      <c r="B126" s="58">
        <v>5205212</v>
      </c>
      <c r="C126" s="27" t="s">
        <v>97</v>
      </c>
      <c r="D126" s="78" t="s">
        <v>50</v>
      </c>
      <c r="E126" s="62">
        <v>51</v>
      </c>
      <c r="F126" s="31">
        <f>VLOOKUP(B126,'Estampados por manguera'!A$2:B$500,2,FALSE)</f>
        <v>2</v>
      </c>
      <c r="G126" s="31">
        <f t="shared" si="104"/>
        <v>102</v>
      </c>
      <c r="H126" s="20">
        <v>6</v>
      </c>
      <c r="I126" s="29">
        <f t="shared" si="105"/>
        <v>612</v>
      </c>
      <c r="J126" s="32">
        <f t="shared" si="106"/>
        <v>180</v>
      </c>
      <c r="K126" s="31">
        <f t="shared" si="107"/>
        <v>792</v>
      </c>
      <c r="L126" s="11">
        <v>1200</v>
      </c>
      <c r="M126" s="31">
        <f>VLOOKUP(B126,'Mangueras por contenedor'!A$2:B$500,2,FALSE)</f>
        <v>45</v>
      </c>
      <c r="N126" s="35">
        <f t="shared" si="108"/>
        <v>1.1333333333333333</v>
      </c>
      <c r="O126" s="11">
        <v>2</v>
      </c>
      <c r="P126" s="11">
        <f t="shared" si="109"/>
        <v>540</v>
      </c>
      <c r="Q126" s="11">
        <f t="shared" si="110"/>
        <v>3</v>
      </c>
      <c r="R126" s="32">
        <f t="shared" si="111"/>
        <v>1620</v>
      </c>
      <c r="S126" s="32">
        <f t="shared" si="112"/>
        <v>6</v>
      </c>
      <c r="T126" s="32">
        <f t="shared" si="113"/>
        <v>135</v>
      </c>
      <c r="U126" s="59" t="str">
        <f t="shared" si="118"/>
        <v/>
      </c>
      <c r="V126" s="59" t="str">
        <f t="shared" si="118"/>
        <v/>
      </c>
      <c r="W126" s="59" t="str">
        <f t="shared" si="118"/>
        <v/>
      </c>
      <c r="X126" s="59" t="str">
        <f t="shared" si="118"/>
        <v/>
      </c>
      <c r="Y126" s="59" t="str">
        <f t="shared" si="118"/>
        <v/>
      </c>
      <c r="Z126" s="59" t="str">
        <f t="shared" si="118"/>
        <v>X</v>
      </c>
      <c r="AA126" s="59" t="str">
        <f t="shared" si="118"/>
        <v/>
      </c>
      <c r="AB126" s="59" t="str">
        <f t="shared" si="118"/>
        <v/>
      </c>
      <c r="AC126" s="59" t="str">
        <f t="shared" si="118"/>
        <v/>
      </c>
      <c r="AD126" s="59" t="str">
        <f t="shared" si="118"/>
        <v/>
      </c>
      <c r="AE126" s="59" t="str">
        <f t="shared" si="119"/>
        <v/>
      </c>
      <c r="AF126" s="59" t="str">
        <f t="shared" si="119"/>
        <v>X</v>
      </c>
      <c r="AG126" s="59" t="str">
        <f t="shared" si="119"/>
        <v/>
      </c>
      <c r="AH126" s="67" t="str">
        <f t="shared" si="119"/>
        <v/>
      </c>
      <c r="AI126" s="67" t="str">
        <f t="shared" si="119"/>
        <v/>
      </c>
      <c r="AJ126" s="67" t="str">
        <f t="shared" si="119"/>
        <v/>
      </c>
      <c r="AK126" s="67" t="str">
        <f t="shared" si="119"/>
        <v/>
      </c>
      <c r="AL126" s="67" t="str">
        <f t="shared" si="119"/>
        <v>X</v>
      </c>
      <c r="AM126" s="67" t="str">
        <f t="shared" si="119"/>
        <v/>
      </c>
      <c r="AN126" s="67" t="str">
        <f t="shared" si="119"/>
        <v/>
      </c>
      <c r="AO126" s="67" t="str">
        <f t="shared" si="120"/>
        <v/>
      </c>
      <c r="AP126" s="67" t="str">
        <f t="shared" si="120"/>
        <v/>
      </c>
      <c r="AQ126" s="67" t="str">
        <f t="shared" si="120"/>
        <v/>
      </c>
      <c r="AR126" s="67" t="str">
        <f t="shared" si="120"/>
        <v>X</v>
      </c>
      <c r="AS126" s="67" t="str">
        <f t="shared" si="120"/>
        <v/>
      </c>
      <c r="AT126" s="67" t="str">
        <f t="shared" si="120"/>
        <v/>
      </c>
      <c r="AU126" s="68" t="str">
        <f t="shared" si="120"/>
        <v/>
      </c>
      <c r="AV126" s="68" t="str">
        <f t="shared" si="120"/>
        <v/>
      </c>
      <c r="AW126" s="68" t="str">
        <f t="shared" si="120"/>
        <v/>
      </c>
      <c r="AX126" s="68" t="str">
        <f t="shared" si="120"/>
        <v>X</v>
      </c>
      <c r="AY126" s="68" t="str">
        <f t="shared" si="120"/>
        <v/>
      </c>
      <c r="AZ126" s="68" t="str">
        <f t="shared" si="120"/>
        <v/>
      </c>
      <c r="BA126" s="68" t="str">
        <f t="shared" si="120"/>
        <v/>
      </c>
    </row>
    <row r="127" spans="1:724" ht="21" customHeight="1">
      <c r="A127" s="28">
        <v>4</v>
      </c>
      <c r="B127" s="58">
        <v>5305288</v>
      </c>
      <c r="C127" s="27" t="s">
        <v>76</v>
      </c>
      <c r="D127" s="78" t="s">
        <v>50</v>
      </c>
      <c r="E127" s="62">
        <v>31</v>
      </c>
      <c r="F127" s="31">
        <f>VLOOKUP(B127,'Estampados por manguera'!A$2:B$500,2,FALSE)</f>
        <v>1</v>
      </c>
      <c r="G127" s="31">
        <f t="shared" si="104"/>
        <v>31</v>
      </c>
      <c r="H127" s="20">
        <v>6</v>
      </c>
      <c r="I127" s="29">
        <f t="shared" si="105"/>
        <v>186</v>
      </c>
      <c r="J127" s="32">
        <f t="shared" si="106"/>
        <v>180</v>
      </c>
      <c r="K127" s="31">
        <f t="shared" si="107"/>
        <v>366</v>
      </c>
      <c r="L127" s="11">
        <v>1200</v>
      </c>
      <c r="M127" s="31">
        <f>VLOOKUP(B127,'Mangueras por contenedor'!A$2:B$500,2,FALSE)</f>
        <v>200</v>
      </c>
      <c r="N127" s="35">
        <f t="shared" si="108"/>
        <v>0.155</v>
      </c>
      <c r="O127" s="11">
        <f t="shared" ref="O127:O136" si="121">IF(N127&gt;=0.8,1,IF((N127*2)&gt;=0.8,2,IF((N127*3)&gt;=0.8,3,IF((N127*4)&gt;=0.8,4,IF((N127*5)&gt;=0.8,5,IF((N127*6)&gt;=0.8,6,IF((N127*7)&gt;=0.8,7,IF((N127*8)&gt;=0.8,8,IF((N127*9)&gt;=0.8,9,IF((N127*10)&gt;=0.8,10,IF((N127*11)&gt;=0.8,11,IF((N127*12)&gt;=0.8,12,IF((N127*13)&gt;=0.8,13,IF((N127*14)&gt;=0.8,14,(IF((N127*15)&gt;=0.8,15,IF((N127*16)&gt;=0.8,16,IF((N127*17)&gt;=0.8,17,IF((N127*18)&gt;=0.8,18,IF((N127*19)&gt;=0.8,19,IF((N127*20)&gt;=0.8,20,IF((N127*21)&gt;=0.8,21,IF((N127*22)&gt;=0.8,22,IF((N127*23)&gt;=0.8,23,IF((N127*24)&gt;=0.8,24,IF((N127*25)&gt;=0.8,25,IF((N127*26)&gt;=0.8,26,IF((N127*27)&gt;=0.8,27,IF((N127*28)&gt;=0.8,28,IF((N127*29)&gt;=0.8,29,IF((N127*30)&gt;=0.8,30,IF((N127*31)&gt;=0.8,31,IF((N127*32)&gt;=0.8,32,IF((N127*33)&gt;=0.8,33,33))))))))))))))))))))))))))))))))))</f>
        <v>6</v>
      </c>
      <c r="P127" s="11">
        <f t="shared" si="109"/>
        <v>1200</v>
      </c>
      <c r="Q127" s="11">
        <f t="shared" si="110"/>
        <v>1</v>
      </c>
      <c r="R127" s="32">
        <f t="shared" si="111"/>
        <v>1200</v>
      </c>
      <c r="S127" s="32">
        <f t="shared" si="112"/>
        <v>6</v>
      </c>
      <c r="T127" s="32">
        <f t="shared" si="113"/>
        <v>200</v>
      </c>
      <c r="U127" s="59" t="str">
        <f t="shared" si="118"/>
        <v/>
      </c>
      <c r="V127" s="59" t="str">
        <f t="shared" si="118"/>
        <v/>
      </c>
      <c r="W127" s="59" t="str">
        <f t="shared" si="118"/>
        <v/>
      </c>
      <c r="X127" s="59" t="str">
        <f t="shared" si="118"/>
        <v/>
      </c>
      <c r="Y127" s="59" t="str">
        <f t="shared" si="118"/>
        <v/>
      </c>
      <c r="Z127" s="59" t="str">
        <f t="shared" si="118"/>
        <v>X</v>
      </c>
      <c r="AA127" s="59" t="str">
        <f t="shared" si="118"/>
        <v/>
      </c>
      <c r="AB127" s="59" t="str">
        <f t="shared" si="118"/>
        <v/>
      </c>
      <c r="AC127" s="59" t="str">
        <f t="shared" si="118"/>
        <v/>
      </c>
      <c r="AD127" s="59" t="str">
        <f t="shared" si="118"/>
        <v/>
      </c>
      <c r="AE127" s="59" t="str">
        <f t="shared" si="119"/>
        <v/>
      </c>
      <c r="AF127" s="59" t="str">
        <f t="shared" si="119"/>
        <v>X</v>
      </c>
      <c r="AG127" s="59" t="str">
        <f t="shared" si="119"/>
        <v/>
      </c>
      <c r="AH127" s="67" t="str">
        <f t="shared" si="119"/>
        <v/>
      </c>
      <c r="AI127" s="67" t="str">
        <f t="shared" si="119"/>
        <v/>
      </c>
      <c r="AJ127" s="67" t="str">
        <f t="shared" si="119"/>
        <v/>
      </c>
      <c r="AK127" s="67" t="str">
        <f t="shared" si="119"/>
        <v/>
      </c>
      <c r="AL127" s="67" t="str">
        <f t="shared" si="119"/>
        <v>X</v>
      </c>
      <c r="AM127" s="67" t="str">
        <f t="shared" si="119"/>
        <v/>
      </c>
      <c r="AN127" s="67" t="str">
        <f t="shared" si="119"/>
        <v/>
      </c>
      <c r="AO127" s="67" t="str">
        <f t="shared" si="120"/>
        <v/>
      </c>
      <c r="AP127" s="67" t="str">
        <f t="shared" si="120"/>
        <v/>
      </c>
      <c r="AQ127" s="67" t="str">
        <f t="shared" si="120"/>
        <v/>
      </c>
      <c r="AR127" s="67" t="str">
        <f t="shared" si="120"/>
        <v>X</v>
      </c>
      <c r="AS127" s="67" t="str">
        <f t="shared" si="120"/>
        <v/>
      </c>
      <c r="AT127" s="67" t="str">
        <f t="shared" si="120"/>
        <v/>
      </c>
      <c r="AU127" s="68" t="str">
        <f t="shared" si="120"/>
        <v/>
      </c>
      <c r="AV127" s="68" t="str">
        <f t="shared" si="120"/>
        <v/>
      </c>
      <c r="AW127" s="68" t="str">
        <f t="shared" si="120"/>
        <v/>
      </c>
      <c r="AX127" s="68" t="str">
        <f t="shared" si="120"/>
        <v>X</v>
      </c>
      <c r="AY127" s="68" t="str">
        <f t="shared" si="120"/>
        <v/>
      </c>
      <c r="AZ127" s="68" t="str">
        <f t="shared" si="120"/>
        <v/>
      </c>
      <c r="BA127" s="68" t="str">
        <f t="shared" si="120"/>
        <v/>
      </c>
      <c r="ZW127" s="60"/>
      <c r="ZX127" s="60"/>
      <c r="ZY127" s="60"/>
      <c r="ZZ127" s="60"/>
      <c r="AAA127" s="60"/>
      <c r="AAB127" s="60"/>
      <c r="AAC127" s="60"/>
      <c r="AAD127" s="60"/>
      <c r="AAE127" s="60"/>
      <c r="AAF127" s="60"/>
      <c r="AAG127" s="60"/>
      <c r="AAH127" s="60"/>
      <c r="AAI127" s="60"/>
      <c r="AAJ127" s="60"/>
      <c r="AAK127" s="60"/>
      <c r="AAL127" s="60"/>
      <c r="AAM127" s="60"/>
      <c r="AAN127" s="60"/>
      <c r="AAO127" s="60"/>
      <c r="AAP127" s="60"/>
      <c r="AAQ127" s="60"/>
      <c r="AAR127" s="60"/>
      <c r="AAS127" s="60"/>
      <c r="AAT127" s="60"/>
      <c r="AAU127" s="60"/>
      <c r="AAV127" s="60"/>
    </row>
    <row r="128" spans="1:724" ht="21" customHeight="1">
      <c r="A128" s="28">
        <v>4</v>
      </c>
      <c r="B128" s="58">
        <v>5305298</v>
      </c>
      <c r="C128" s="27" t="s">
        <v>84</v>
      </c>
      <c r="D128" s="78" t="s">
        <v>50</v>
      </c>
      <c r="E128" s="62">
        <v>32</v>
      </c>
      <c r="F128" s="31">
        <f>VLOOKUP(B128,'Estampados por manguera'!A$2:B$500,2,FALSE)</f>
        <v>2</v>
      </c>
      <c r="G128" s="31">
        <f t="shared" si="104"/>
        <v>64</v>
      </c>
      <c r="H128" s="20">
        <v>6</v>
      </c>
      <c r="I128" s="29">
        <f t="shared" si="105"/>
        <v>384</v>
      </c>
      <c r="J128" s="32">
        <f t="shared" si="106"/>
        <v>180</v>
      </c>
      <c r="K128" s="31">
        <f t="shared" si="107"/>
        <v>564</v>
      </c>
      <c r="L128" s="11">
        <v>1200</v>
      </c>
      <c r="M128" s="31">
        <f>VLOOKUP(B128,'Mangueras por contenedor'!A$2:B$500,2,FALSE)</f>
        <v>320</v>
      </c>
      <c r="N128" s="35">
        <f t="shared" si="108"/>
        <v>0.1</v>
      </c>
      <c r="O128" s="11">
        <f t="shared" si="121"/>
        <v>8</v>
      </c>
      <c r="P128" s="11">
        <f t="shared" si="109"/>
        <v>3840</v>
      </c>
      <c r="Q128" s="11">
        <f t="shared" si="110"/>
        <v>1</v>
      </c>
      <c r="R128" s="32">
        <f t="shared" si="111"/>
        <v>3840</v>
      </c>
      <c r="S128" s="32">
        <f t="shared" si="112"/>
        <v>8</v>
      </c>
      <c r="T128" s="32">
        <f t="shared" si="113"/>
        <v>320</v>
      </c>
      <c r="U128" s="59" t="str">
        <f t="shared" si="118"/>
        <v/>
      </c>
      <c r="V128" s="59" t="str">
        <f t="shared" si="118"/>
        <v/>
      </c>
      <c r="W128" s="59" t="str">
        <f t="shared" si="118"/>
        <v/>
      </c>
      <c r="X128" s="59" t="str">
        <f t="shared" si="118"/>
        <v/>
      </c>
      <c r="Y128" s="59" t="str">
        <f t="shared" si="118"/>
        <v/>
      </c>
      <c r="Z128" s="59" t="str">
        <f t="shared" si="118"/>
        <v/>
      </c>
      <c r="AA128" s="59" t="str">
        <f t="shared" si="118"/>
        <v/>
      </c>
      <c r="AB128" s="59" t="str">
        <f t="shared" si="118"/>
        <v>X</v>
      </c>
      <c r="AC128" s="59" t="str">
        <f t="shared" si="118"/>
        <v/>
      </c>
      <c r="AD128" s="59" t="str">
        <f t="shared" si="118"/>
        <v/>
      </c>
      <c r="AE128" s="59" t="str">
        <f t="shared" si="119"/>
        <v/>
      </c>
      <c r="AF128" s="59" t="str">
        <f t="shared" si="119"/>
        <v/>
      </c>
      <c r="AG128" s="59" t="str">
        <f t="shared" si="119"/>
        <v/>
      </c>
      <c r="AH128" s="67" t="str">
        <f t="shared" si="119"/>
        <v/>
      </c>
      <c r="AI128" s="67" t="str">
        <f t="shared" si="119"/>
        <v/>
      </c>
      <c r="AJ128" s="67" t="str">
        <f t="shared" si="119"/>
        <v>X</v>
      </c>
      <c r="AK128" s="67" t="str">
        <f t="shared" si="119"/>
        <v/>
      </c>
      <c r="AL128" s="67" t="str">
        <f t="shared" si="119"/>
        <v/>
      </c>
      <c r="AM128" s="67" t="str">
        <f t="shared" si="119"/>
        <v/>
      </c>
      <c r="AN128" s="67" t="str">
        <f t="shared" si="119"/>
        <v/>
      </c>
      <c r="AO128" s="67" t="str">
        <f t="shared" si="120"/>
        <v/>
      </c>
      <c r="AP128" s="67" t="str">
        <f t="shared" si="120"/>
        <v/>
      </c>
      <c r="AQ128" s="67" t="str">
        <f t="shared" si="120"/>
        <v/>
      </c>
      <c r="AR128" s="67" t="str">
        <f t="shared" si="120"/>
        <v>X</v>
      </c>
      <c r="AS128" s="67" t="str">
        <f t="shared" si="120"/>
        <v/>
      </c>
      <c r="AT128" s="67" t="str">
        <f t="shared" si="120"/>
        <v/>
      </c>
      <c r="AU128" s="68" t="str">
        <f t="shared" si="120"/>
        <v/>
      </c>
      <c r="AV128" s="68" t="str">
        <f t="shared" si="120"/>
        <v/>
      </c>
      <c r="AW128" s="68" t="str">
        <f t="shared" si="120"/>
        <v/>
      </c>
      <c r="AX128" s="68" t="str">
        <f t="shared" si="120"/>
        <v/>
      </c>
      <c r="AY128" s="68" t="str">
        <f t="shared" si="120"/>
        <v/>
      </c>
      <c r="AZ128" s="68" t="str">
        <f t="shared" si="120"/>
        <v>X</v>
      </c>
      <c r="BA128" s="68" t="str">
        <f t="shared" si="120"/>
        <v/>
      </c>
    </row>
    <row r="129" spans="1:87" s="60" customFormat="1" ht="21" customHeight="1">
      <c r="A129" s="28">
        <v>4</v>
      </c>
      <c r="B129" s="58">
        <v>5205296</v>
      </c>
      <c r="C129" s="27" t="s">
        <v>80</v>
      </c>
      <c r="D129" s="78" t="s">
        <v>50</v>
      </c>
      <c r="E129" s="62">
        <v>24</v>
      </c>
      <c r="F129" s="31">
        <f>VLOOKUP(B129,'Estampados por manguera'!A$2:B$500,2,FALSE)</f>
        <v>1</v>
      </c>
      <c r="G129" s="31">
        <f t="shared" si="104"/>
        <v>24</v>
      </c>
      <c r="H129" s="20">
        <v>6</v>
      </c>
      <c r="I129" s="29">
        <f t="shared" si="105"/>
        <v>144</v>
      </c>
      <c r="J129" s="32">
        <f t="shared" si="106"/>
        <v>180</v>
      </c>
      <c r="K129" s="31">
        <f t="shared" si="107"/>
        <v>324</v>
      </c>
      <c r="L129" s="11">
        <v>1206</v>
      </c>
      <c r="M129" s="31">
        <f>VLOOKUP(B129,'Mangueras por contenedor'!A$2:B$500,2,FALSE)</f>
        <v>400</v>
      </c>
      <c r="N129" s="35">
        <f t="shared" si="108"/>
        <v>0.06</v>
      </c>
      <c r="O129" s="11">
        <f t="shared" si="121"/>
        <v>14</v>
      </c>
      <c r="P129" s="11">
        <f t="shared" si="109"/>
        <v>2400</v>
      </c>
      <c r="Q129" s="11">
        <f t="shared" si="110"/>
        <v>1</v>
      </c>
      <c r="R129" s="32">
        <f t="shared" si="111"/>
        <v>2400</v>
      </c>
      <c r="S129" s="32">
        <f t="shared" si="112"/>
        <v>14</v>
      </c>
      <c r="T129" s="32">
        <f t="shared" si="113"/>
        <v>400</v>
      </c>
      <c r="U129" s="59" t="str">
        <f t="shared" si="118"/>
        <v/>
      </c>
      <c r="V129" s="59" t="str">
        <f t="shared" si="118"/>
        <v/>
      </c>
      <c r="W129" s="59" t="str">
        <f t="shared" si="118"/>
        <v/>
      </c>
      <c r="X129" s="59" t="str">
        <f t="shared" si="118"/>
        <v/>
      </c>
      <c r="Y129" s="59" t="str">
        <f t="shared" si="118"/>
        <v/>
      </c>
      <c r="Z129" s="59" t="str">
        <f t="shared" si="118"/>
        <v/>
      </c>
      <c r="AA129" s="59" t="str">
        <f t="shared" si="118"/>
        <v/>
      </c>
      <c r="AB129" s="59" t="str">
        <f t="shared" si="118"/>
        <v/>
      </c>
      <c r="AC129" s="59" t="str">
        <f t="shared" si="118"/>
        <v/>
      </c>
      <c r="AD129" s="59" t="str">
        <f t="shared" si="118"/>
        <v/>
      </c>
      <c r="AE129" s="59" t="str">
        <f t="shared" si="119"/>
        <v/>
      </c>
      <c r="AF129" s="59" t="str">
        <f t="shared" si="119"/>
        <v/>
      </c>
      <c r="AG129" s="59" t="str">
        <f t="shared" si="119"/>
        <v/>
      </c>
      <c r="AH129" s="67" t="str">
        <f t="shared" si="119"/>
        <v>X</v>
      </c>
      <c r="AI129" s="67" t="str">
        <f t="shared" si="119"/>
        <v/>
      </c>
      <c r="AJ129" s="67" t="str">
        <f t="shared" si="119"/>
        <v/>
      </c>
      <c r="AK129" s="67" t="str">
        <f t="shared" si="119"/>
        <v/>
      </c>
      <c r="AL129" s="67" t="str">
        <f t="shared" si="119"/>
        <v/>
      </c>
      <c r="AM129" s="67" t="str">
        <f t="shared" si="119"/>
        <v/>
      </c>
      <c r="AN129" s="67" t="str">
        <f t="shared" si="119"/>
        <v/>
      </c>
      <c r="AO129" s="67" t="str">
        <f t="shared" si="120"/>
        <v/>
      </c>
      <c r="AP129" s="67" t="str">
        <f t="shared" si="120"/>
        <v/>
      </c>
      <c r="AQ129" s="67" t="str">
        <f t="shared" si="120"/>
        <v/>
      </c>
      <c r="AR129" s="67" t="str">
        <f t="shared" si="120"/>
        <v/>
      </c>
      <c r="AS129" s="67" t="str">
        <f t="shared" si="120"/>
        <v/>
      </c>
      <c r="AT129" s="67" t="str">
        <f t="shared" si="120"/>
        <v/>
      </c>
      <c r="AU129" s="68" t="str">
        <f t="shared" si="120"/>
        <v/>
      </c>
      <c r="AV129" s="68" t="str">
        <f t="shared" si="120"/>
        <v>X</v>
      </c>
      <c r="AW129" s="68" t="str">
        <f t="shared" si="120"/>
        <v/>
      </c>
      <c r="AX129" s="68" t="str">
        <f t="shared" si="120"/>
        <v/>
      </c>
      <c r="AY129" s="68" t="str">
        <f t="shared" si="120"/>
        <v/>
      </c>
      <c r="AZ129" s="68" t="str">
        <f t="shared" si="120"/>
        <v/>
      </c>
      <c r="BA129" s="68" t="str">
        <f t="shared" si="120"/>
        <v/>
      </c>
      <c r="CH129"/>
      <c r="CI129"/>
    </row>
    <row r="130" spans="1:87" s="60" customFormat="1" ht="21" customHeight="1">
      <c r="A130" s="28">
        <v>4</v>
      </c>
      <c r="B130" s="58">
        <v>5205358</v>
      </c>
      <c r="C130" s="27" t="s">
        <v>85</v>
      </c>
      <c r="D130" s="78" t="s">
        <v>50</v>
      </c>
      <c r="E130" s="62">
        <v>5</v>
      </c>
      <c r="F130" s="31">
        <f>VLOOKUP(B130,'Estampados por manguera'!A$2:B$500,2,FALSE)</f>
        <v>2</v>
      </c>
      <c r="G130" s="31">
        <f t="shared" si="104"/>
        <v>10</v>
      </c>
      <c r="H130" s="20">
        <v>6</v>
      </c>
      <c r="I130" s="29">
        <f t="shared" si="105"/>
        <v>60</v>
      </c>
      <c r="J130" s="32">
        <f t="shared" si="106"/>
        <v>180</v>
      </c>
      <c r="K130" s="31">
        <f t="shared" si="107"/>
        <v>240</v>
      </c>
      <c r="L130" s="11">
        <v>1203</v>
      </c>
      <c r="M130" s="31">
        <f>VLOOKUP(B130,'Mangueras por contenedor'!A$2:B$500,2,FALSE)</f>
        <v>60</v>
      </c>
      <c r="N130" s="35">
        <f t="shared" si="108"/>
        <v>8.3333333333333329E-2</v>
      </c>
      <c r="O130" s="11">
        <f t="shared" si="121"/>
        <v>10</v>
      </c>
      <c r="P130" s="11">
        <f t="shared" si="109"/>
        <v>720</v>
      </c>
      <c r="Q130" s="11">
        <f t="shared" si="110"/>
        <v>2</v>
      </c>
      <c r="R130" s="32">
        <f t="shared" si="111"/>
        <v>1440</v>
      </c>
      <c r="S130" s="32">
        <f t="shared" si="112"/>
        <v>20</v>
      </c>
      <c r="T130" s="32">
        <f t="shared" si="113"/>
        <v>120</v>
      </c>
      <c r="U130" s="59" t="str">
        <f t="shared" si="118"/>
        <v/>
      </c>
      <c r="V130" s="59" t="str">
        <f t="shared" si="118"/>
        <v/>
      </c>
      <c r="W130" s="59" t="str">
        <f t="shared" si="118"/>
        <v/>
      </c>
      <c r="X130" s="59" t="str">
        <f t="shared" si="118"/>
        <v/>
      </c>
      <c r="Y130" s="59" t="str">
        <f t="shared" si="118"/>
        <v/>
      </c>
      <c r="Z130" s="59" t="str">
        <f t="shared" si="118"/>
        <v/>
      </c>
      <c r="AA130" s="59" t="str">
        <f t="shared" si="118"/>
        <v/>
      </c>
      <c r="AB130" s="59" t="str">
        <f t="shared" si="118"/>
        <v/>
      </c>
      <c r="AC130" s="59" t="str">
        <f t="shared" si="118"/>
        <v/>
      </c>
      <c r="AD130" s="59" t="str">
        <f t="shared" si="118"/>
        <v/>
      </c>
      <c r="AE130" s="59" t="str">
        <f t="shared" si="119"/>
        <v/>
      </c>
      <c r="AF130" s="59" t="str">
        <f t="shared" si="119"/>
        <v/>
      </c>
      <c r="AG130" s="59" t="str">
        <f t="shared" si="119"/>
        <v/>
      </c>
      <c r="AH130" s="67" t="str">
        <f t="shared" si="119"/>
        <v/>
      </c>
      <c r="AI130" s="67" t="str">
        <f t="shared" si="119"/>
        <v/>
      </c>
      <c r="AJ130" s="67" t="str">
        <f t="shared" si="119"/>
        <v/>
      </c>
      <c r="AK130" s="67" t="str">
        <f t="shared" si="119"/>
        <v/>
      </c>
      <c r="AL130" s="67" t="str">
        <f t="shared" si="119"/>
        <v/>
      </c>
      <c r="AM130" s="67" t="str">
        <f t="shared" si="119"/>
        <v/>
      </c>
      <c r="AN130" s="67" t="str">
        <f t="shared" si="119"/>
        <v>X</v>
      </c>
      <c r="AO130" s="67" t="str">
        <f t="shared" si="120"/>
        <v/>
      </c>
      <c r="AP130" s="67" t="str">
        <f t="shared" si="120"/>
        <v/>
      </c>
      <c r="AQ130" s="67" t="str">
        <f t="shared" si="120"/>
        <v/>
      </c>
      <c r="AR130" s="67" t="str">
        <f t="shared" si="120"/>
        <v/>
      </c>
      <c r="AS130" s="67" t="str">
        <f t="shared" si="120"/>
        <v/>
      </c>
      <c r="AT130" s="67" t="str">
        <f t="shared" si="120"/>
        <v/>
      </c>
      <c r="AU130" s="68" t="str">
        <f t="shared" si="120"/>
        <v/>
      </c>
      <c r="AV130" s="68" t="str">
        <f t="shared" si="120"/>
        <v/>
      </c>
      <c r="AW130" s="68" t="str">
        <f t="shared" si="120"/>
        <v/>
      </c>
      <c r="AX130" s="68" t="str">
        <f t="shared" si="120"/>
        <v/>
      </c>
      <c r="AY130" s="68" t="str">
        <f t="shared" si="120"/>
        <v/>
      </c>
      <c r="AZ130" s="68" t="str">
        <f t="shared" si="120"/>
        <v/>
      </c>
      <c r="BA130" s="68" t="str">
        <f t="shared" si="120"/>
        <v/>
      </c>
      <c r="CH130"/>
      <c r="CI130"/>
    </row>
    <row r="131" spans="1:87" s="60" customFormat="1" ht="21" customHeight="1">
      <c r="A131" s="28">
        <v>4</v>
      </c>
      <c r="B131" s="58">
        <v>5205222</v>
      </c>
      <c r="C131" s="27" t="s">
        <v>126</v>
      </c>
      <c r="D131" s="78" t="s">
        <v>50</v>
      </c>
      <c r="E131" s="62">
        <v>4</v>
      </c>
      <c r="F131" s="31">
        <f>VLOOKUP(B131,'Estampados por manguera'!A$2:B$500,2,FALSE)</f>
        <v>2</v>
      </c>
      <c r="G131" s="31">
        <f t="shared" si="104"/>
        <v>8</v>
      </c>
      <c r="H131" s="20">
        <v>6</v>
      </c>
      <c r="I131" s="29">
        <f t="shared" si="105"/>
        <v>48</v>
      </c>
      <c r="J131" s="32">
        <f t="shared" si="106"/>
        <v>180</v>
      </c>
      <c r="K131" s="31">
        <f t="shared" si="107"/>
        <v>228</v>
      </c>
      <c r="L131" s="11">
        <v>1205</v>
      </c>
      <c r="M131" s="31">
        <f>VLOOKUP(B131,'Mangueras por contenedor'!A$2:B$500,2,FALSE)</f>
        <v>44</v>
      </c>
      <c r="N131" s="35">
        <f t="shared" si="108"/>
        <v>9.0909090909090912E-2</v>
      </c>
      <c r="O131" s="11">
        <f t="shared" si="121"/>
        <v>9</v>
      </c>
      <c r="P131" s="11">
        <f t="shared" si="109"/>
        <v>528</v>
      </c>
      <c r="Q131" s="11">
        <f t="shared" si="110"/>
        <v>3</v>
      </c>
      <c r="R131" s="32">
        <f t="shared" si="111"/>
        <v>1584</v>
      </c>
      <c r="S131" s="32">
        <f t="shared" si="112"/>
        <v>27</v>
      </c>
      <c r="T131" s="32">
        <f t="shared" si="113"/>
        <v>132</v>
      </c>
      <c r="U131" s="59" t="str">
        <f t="shared" si="118"/>
        <v/>
      </c>
      <c r="V131" s="59" t="str">
        <f t="shared" si="118"/>
        <v/>
      </c>
      <c r="W131" s="59" t="str">
        <f t="shared" si="118"/>
        <v/>
      </c>
      <c r="X131" s="59" t="str">
        <f t="shared" si="118"/>
        <v/>
      </c>
      <c r="Y131" s="59" t="str">
        <f t="shared" si="118"/>
        <v/>
      </c>
      <c r="Z131" s="59" t="str">
        <f t="shared" si="118"/>
        <v/>
      </c>
      <c r="AA131" s="59" t="str">
        <f t="shared" si="118"/>
        <v/>
      </c>
      <c r="AB131" s="59" t="str">
        <f t="shared" si="118"/>
        <v/>
      </c>
      <c r="AC131" s="59" t="str">
        <f t="shared" si="118"/>
        <v/>
      </c>
      <c r="AD131" s="59" t="str">
        <f t="shared" si="118"/>
        <v/>
      </c>
      <c r="AE131" s="59" t="str">
        <f t="shared" si="119"/>
        <v/>
      </c>
      <c r="AF131" s="59" t="str">
        <f t="shared" si="119"/>
        <v/>
      </c>
      <c r="AG131" s="59" t="str">
        <f t="shared" si="119"/>
        <v/>
      </c>
      <c r="AH131" s="67" t="str">
        <f t="shared" si="119"/>
        <v/>
      </c>
      <c r="AI131" s="67" t="str">
        <f t="shared" si="119"/>
        <v/>
      </c>
      <c r="AJ131" s="67" t="str">
        <f t="shared" si="119"/>
        <v/>
      </c>
      <c r="AK131" s="67" t="str">
        <f t="shared" si="119"/>
        <v/>
      </c>
      <c r="AL131" s="67" t="str">
        <f t="shared" si="119"/>
        <v/>
      </c>
      <c r="AM131" s="67" t="str">
        <f t="shared" si="119"/>
        <v/>
      </c>
      <c r="AN131" s="67" t="str">
        <f t="shared" si="119"/>
        <v/>
      </c>
      <c r="AO131" s="67" t="str">
        <f t="shared" si="120"/>
        <v/>
      </c>
      <c r="AP131" s="67" t="str">
        <f t="shared" si="120"/>
        <v/>
      </c>
      <c r="AQ131" s="67" t="str">
        <f t="shared" si="120"/>
        <v/>
      </c>
      <c r="AR131" s="67" t="str">
        <f t="shared" si="120"/>
        <v/>
      </c>
      <c r="AS131" s="67" t="str">
        <f t="shared" si="120"/>
        <v/>
      </c>
      <c r="AT131" s="67" t="str">
        <f t="shared" si="120"/>
        <v/>
      </c>
      <c r="AU131" s="68" t="str">
        <f t="shared" si="120"/>
        <v>X</v>
      </c>
      <c r="AV131" s="68" t="str">
        <f t="shared" si="120"/>
        <v/>
      </c>
      <c r="AW131" s="68" t="str">
        <f t="shared" si="120"/>
        <v/>
      </c>
      <c r="AX131" s="68" t="str">
        <f t="shared" si="120"/>
        <v/>
      </c>
      <c r="AY131" s="68" t="str">
        <f t="shared" si="120"/>
        <v/>
      </c>
      <c r="AZ131" s="68" t="str">
        <f t="shared" si="120"/>
        <v/>
      </c>
      <c r="BA131" s="68" t="str">
        <f t="shared" si="120"/>
        <v/>
      </c>
      <c r="CH131"/>
      <c r="CI131"/>
    </row>
    <row r="132" spans="1:87" s="60" customFormat="1" ht="21" customHeight="1">
      <c r="A132" s="28">
        <v>4</v>
      </c>
      <c r="B132" s="58">
        <v>5205205</v>
      </c>
      <c r="C132" s="27" t="s">
        <v>75</v>
      </c>
      <c r="D132" s="78" t="s">
        <v>50</v>
      </c>
      <c r="E132" s="62">
        <v>4</v>
      </c>
      <c r="F132" s="31">
        <f>VLOOKUP(B132,'Estampados por manguera'!A$2:B$500,2,FALSE)</f>
        <v>1</v>
      </c>
      <c r="G132" s="31">
        <f t="shared" si="104"/>
        <v>4</v>
      </c>
      <c r="H132" s="20">
        <v>6</v>
      </c>
      <c r="I132" s="29">
        <f t="shared" si="105"/>
        <v>24</v>
      </c>
      <c r="J132" s="32">
        <f t="shared" si="106"/>
        <v>180</v>
      </c>
      <c r="K132" s="31">
        <f t="shared" si="107"/>
        <v>204</v>
      </c>
      <c r="L132" s="11">
        <v>1209</v>
      </c>
      <c r="M132" s="31">
        <f>VLOOKUP(B132,'Mangueras por contenedor'!A$2:B$500,2,FALSE)</f>
        <v>44</v>
      </c>
      <c r="N132" s="35">
        <f t="shared" si="108"/>
        <v>9.0909090909090912E-2</v>
      </c>
      <c r="O132" s="11">
        <f t="shared" si="121"/>
        <v>9</v>
      </c>
      <c r="P132" s="11">
        <f t="shared" si="109"/>
        <v>264</v>
      </c>
      <c r="Q132" s="11">
        <f t="shared" si="110"/>
        <v>3</v>
      </c>
      <c r="R132" s="32">
        <f t="shared" si="111"/>
        <v>792</v>
      </c>
      <c r="S132" s="32">
        <f t="shared" si="112"/>
        <v>27</v>
      </c>
      <c r="T132" s="32">
        <f t="shared" si="113"/>
        <v>132</v>
      </c>
      <c r="U132" s="59" t="str">
        <f t="shared" si="118"/>
        <v/>
      </c>
      <c r="V132" s="59" t="str">
        <f t="shared" si="118"/>
        <v/>
      </c>
      <c r="W132" s="59" t="str">
        <f t="shared" si="118"/>
        <v/>
      </c>
      <c r="X132" s="59" t="str">
        <f t="shared" si="118"/>
        <v/>
      </c>
      <c r="Y132" s="59" t="str">
        <f t="shared" si="118"/>
        <v/>
      </c>
      <c r="Z132" s="59" t="str">
        <f t="shared" si="118"/>
        <v/>
      </c>
      <c r="AA132" s="59" t="str">
        <f t="shared" si="118"/>
        <v/>
      </c>
      <c r="AB132" s="59" t="str">
        <f t="shared" si="118"/>
        <v/>
      </c>
      <c r="AC132" s="59" t="str">
        <f t="shared" si="118"/>
        <v/>
      </c>
      <c r="AD132" s="59" t="str">
        <f t="shared" si="118"/>
        <v/>
      </c>
      <c r="AE132" s="59" t="str">
        <f t="shared" si="119"/>
        <v/>
      </c>
      <c r="AF132" s="59" t="str">
        <f t="shared" si="119"/>
        <v/>
      </c>
      <c r="AG132" s="59" t="str">
        <f t="shared" si="119"/>
        <v/>
      </c>
      <c r="AH132" s="67" t="str">
        <f t="shared" si="119"/>
        <v/>
      </c>
      <c r="AI132" s="67" t="str">
        <f t="shared" si="119"/>
        <v/>
      </c>
      <c r="AJ132" s="67" t="str">
        <f t="shared" si="119"/>
        <v/>
      </c>
      <c r="AK132" s="67" t="str">
        <f t="shared" si="119"/>
        <v/>
      </c>
      <c r="AL132" s="67" t="str">
        <f t="shared" si="119"/>
        <v/>
      </c>
      <c r="AM132" s="67" t="str">
        <f t="shared" si="119"/>
        <v/>
      </c>
      <c r="AN132" s="67" t="str">
        <f t="shared" si="119"/>
        <v/>
      </c>
      <c r="AO132" s="67" t="str">
        <f t="shared" si="120"/>
        <v/>
      </c>
      <c r="AP132" s="67" t="str">
        <f t="shared" si="120"/>
        <v/>
      </c>
      <c r="AQ132" s="67" t="str">
        <f t="shared" si="120"/>
        <v/>
      </c>
      <c r="AR132" s="67" t="str">
        <f t="shared" si="120"/>
        <v/>
      </c>
      <c r="AS132" s="67" t="str">
        <f t="shared" si="120"/>
        <v/>
      </c>
      <c r="AT132" s="67" t="str">
        <f t="shared" si="120"/>
        <v/>
      </c>
      <c r="AU132" s="68" t="str">
        <f t="shared" si="120"/>
        <v>X</v>
      </c>
      <c r="AV132" s="68" t="str">
        <f t="shared" si="120"/>
        <v/>
      </c>
      <c r="AW132" s="68" t="str">
        <f t="shared" si="120"/>
        <v/>
      </c>
      <c r="AX132" s="68" t="str">
        <f t="shared" si="120"/>
        <v/>
      </c>
      <c r="AY132" s="68" t="str">
        <f t="shared" si="120"/>
        <v/>
      </c>
      <c r="AZ132" s="68" t="str">
        <f t="shared" si="120"/>
        <v/>
      </c>
      <c r="BA132" s="68" t="str">
        <f t="shared" si="120"/>
        <v/>
      </c>
    </row>
    <row r="133" spans="1:87" s="60" customFormat="1" ht="21" customHeight="1">
      <c r="A133" s="28">
        <v>4</v>
      </c>
      <c r="B133" s="58">
        <v>5205361</v>
      </c>
      <c r="C133" s="27" t="s">
        <v>124</v>
      </c>
      <c r="D133" s="78" t="s">
        <v>50</v>
      </c>
      <c r="E133" s="62">
        <v>3</v>
      </c>
      <c r="F133" s="31">
        <f>VLOOKUP(B133,'Estampados por manguera'!A$2:B$500,2,FALSE)</f>
        <v>2</v>
      </c>
      <c r="G133" s="31">
        <f t="shared" si="104"/>
        <v>6</v>
      </c>
      <c r="H133" s="20">
        <v>6</v>
      </c>
      <c r="I133" s="29">
        <f t="shared" si="105"/>
        <v>36</v>
      </c>
      <c r="J133" s="32">
        <f t="shared" si="106"/>
        <v>180</v>
      </c>
      <c r="K133" s="31">
        <f t="shared" si="107"/>
        <v>216</v>
      </c>
      <c r="L133" s="11">
        <v>1200</v>
      </c>
      <c r="M133" s="31">
        <f>VLOOKUP(B133,'Mangueras por contenedor'!A$2:B$500,2,FALSE)</f>
        <v>40</v>
      </c>
      <c r="N133" s="35">
        <f t="shared" si="108"/>
        <v>7.4999999999999997E-2</v>
      </c>
      <c r="O133" s="11">
        <f t="shared" si="121"/>
        <v>11</v>
      </c>
      <c r="P133" s="11">
        <f t="shared" si="109"/>
        <v>480</v>
      </c>
      <c r="Q133" s="11">
        <f t="shared" si="110"/>
        <v>3</v>
      </c>
      <c r="R133" s="32">
        <f t="shared" si="111"/>
        <v>1440</v>
      </c>
      <c r="S133" s="32">
        <f t="shared" si="112"/>
        <v>33</v>
      </c>
      <c r="T133" s="32">
        <f t="shared" si="113"/>
        <v>120</v>
      </c>
      <c r="U133" s="59" t="str">
        <f t="shared" si="118"/>
        <v/>
      </c>
      <c r="V133" s="59" t="str">
        <f t="shared" si="118"/>
        <v/>
      </c>
      <c r="W133" s="59" t="str">
        <f t="shared" si="118"/>
        <v/>
      </c>
      <c r="X133" s="59" t="str">
        <f t="shared" si="118"/>
        <v/>
      </c>
      <c r="Y133" s="59" t="str">
        <f t="shared" si="118"/>
        <v/>
      </c>
      <c r="Z133" s="59" t="str">
        <f t="shared" si="118"/>
        <v/>
      </c>
      <c r="AA133" s="59" t="str">
        <f t="shared" si="118"/>
        <v/>
      </c>
      <c r="AB133" s="59" t="str">
        <f t="shared" si="118"/>
        <v/>
      </c>
      <c r="AC133" s="59" t="str">
        <f t="shared" si="118"/>
        <v/>
      </c>
      <c r="AD133" s="59" t="str">
        <f t="shared" si="118"/>
        <v/>
      </c>
      <c r="AE133" s="59" t="str">
        <f t="shared" si="119"/>
        <v/>
      </c>
      <c r="AF133" s="59" t="str">
        <f t="shared" si="119"/>
        <v/>
      </c>
      <c r="AG133" s="59" t="str">
        <f t="shared" si="119"/>
        <v/>
      </c>
      <c r="AH133" s="67" t="str">
        <f t="shared" si="119"/>
        <v/>
      </c>
      <c r="AI133" s="67" t="str">
        <f t="shared" si="119"/>
        <v/>
      </c>
      <c r="AJ133" s="67" t="str">
        <f t="shared" si="119"/>
        <v/>
      </c>
      <c r="AK133" s="67" t="str">
        <f t="shared" si="119"/>
        <v/>
      </c>
      <c r="AL133" s="67" t="str">
        <f t="shared" si="119"/>
        <v/>
      </c>
      <c r="AM133" s="67" t="str">
        <f t="shared" si="119"/>
        <v/>
      </c>
      <c r="AN133" s="67" t="str">
        <f t="shared" si="119"/>
        <v/>
      </c>
      <c r="AO133" s="67" t="str">
        <f t="shared" si="120"/>
        <v/>
      </c>
      <c r="AP133" s="67" t="str">
        <f t="shared" si="120"/>
        <v/>
      </c>
      <c r="AQ133" s="67" t="str">
        <f t="shared" si="120"/>
        <v/>
      </c>
      <c r="AR133" s="67" t="str">
        <f t="shared" si="120"/>
        <v/>
      </c>
      <c r="AS133" s="67" t="str">
        <f t="shared" si="120"/>
        <v/>
      </c>
      <c r="AT133" s="67" t="str">
        <f t="shared" si="120"/>
        <v/>
      </c>
      <c r="AU133" s="68" t="str">
        <f t="shared" si="120"/>
        <v/>
      </c>
      <c r="AV133" s="68" t="str">
        <f t="shared" si="120"/>
        <v/>
      </c>
      <c r="AW133" s="68" t="str">
        <f t="shared" si="120"/>
        <v/>
      </c>
      <c r="AX133" s="68" t="str">
        <f t="shared" si="120"/>
        <v/>
      </c>
      <c r="AY133" s="68" t="str">
        <f t="shared" si="120"/>
        <v/>
      </c>
      <c r="AZ133" s="68" t="str">
        <f t="shared" si="120"/>
        <v/>
      </c>
      <c r="BA133" s="68" t="str">
        <f t="shared" si="120"/>
        <v>X</v>
      </c>
    </row>
    <row r="134" spans="1:87" s="60" customFormat="1" ht="21" customHeight="1">
      <c r="A134" s="28">
        <v>4</v>
      </c>
      <c r="B134" s="58">
        <v>5205206</v>
      </c>
      <c r="C134" s="27" t="s">
        <v>196</v>
      </c>
      <c r="D134" s="78" t="s">
        <v>50</v>
      </c>
      <c r="E134" s="62">
        <v>1</v>
      </c>
      <c r="F134" s="31">
        <f>VLOOKUP(B134,'Estampados por manguera'!A$2:B$500,2,FALSE)</f>
        <v>2</v>
      </c>
      <c r="G134" s="31">
        <f t="shared" si="104"/>
        <v>2</v>
      </c>
      <c r="H134" s="20">
        <v>6</v>
      </c>
      <c r="I134" s="29">
        <f t="shared" si="105"/>
        <v>12</v>
      </c>
      <c r="J134" s="32">
        <f t="shared" si="106"/>
        <v>180</v>
      </c>
      <c r="K134" s="31">
        <f t="shared" si="107"/>
        <v>192</v>
      </c>
      <c r="L134" s="11">
        <v>1208</v>
      </c>
      <c r="M134" s="31">
        <f>VLOOKUP(B134,'Mangueras por contenedor'!A$2:B$500,2,FALSE)</f>
        <v>60</v>
      </c>
      <c r="N134" s="35">
        <f t="shared" si="108"/>
        <v>1.6666666666666666E-2</v>
      </c>
      <c r="O134" s="11">
        <f t="shared" si="121"/>
        <v>33</v>
      </c>
      <c r="P134" s="11">
        <f t="shared" si="109"/>
        <v>720</v>
      </c>
      <c r="Q134" s="11">
        <f t="shared" si="110"/>
        <v>2</v>
      </c>
      <c r="R134" s="32">
        <f t="shared" si="111"/>
        <v>1440</v>
      </c>
      <c r="S134" s="32">
        <f t="shared" si="112"/>
        <v>33</v>
      </c>
      <c r="T134" s="32">
        <f t="shared" si="113"/>
        <v>120</v>
      </c>
      <c r="U134" s="59" t="str">
        <f t="shared" si="118"/>
        <v/>
      </c>
      <c r="V134" s="59" t="str">
        <f t="shared" si="118"/>
        <v/>
      </c>
      <c r="W134" s="59" t="str">
        <f t="shared" si="118"/>
        <v/>
      </c>
      <c r="X134" s="59" t="str">
        <f t="shared" si="118"/>
        <v/>
      </c>
      <c r="Y134" s="59" t="str">
        <f t="shared" si="118"/>
        <v/>
      </c>
      <c r="Z134" s="59" t="str">
        <f t="shared" si="118"/>
        <v/>
      </c>
      <c r="AA134" s="59" t="str">
        <f t="shared" si="118"/>
        <v/>
      </c>
      <c r="AB134" s="59" t="str">
        <f t="shared" si="118"/>
        <v/>
      </c>
      <c r="AC134" s="59" t="str">
        <f t="shared" si="118"/>
        <v/>
      </c>
      <c r="AD134" s="59" t="str">
        <f t="shared" si="118"/>
        <v/>
      </c>
      <c r="AE134" s="59" t="str">
        <f t="shared" si="119"/>
        <v/>
      </c>
      <c r="AF134" s="59" t="str">
        <f t="shared" si="119"/>
        <v/>
      </c>
      <c r="AG134" s="59" t="str">
        <f t="shared" si="119"/>
        <v/>
      </c>
      <c r="AH134" s="67" t="str">
        <f t="shared" si="119"/>
        <v/>
      </c>
      <c r="AI134" s="67" t="str">
        <f t="shared" si="119"/>
        <v/>
      </c>
      <c r="AJ134" s="67" t="str">
        <f t="shared" si="119"/>
        <v/>
      </c>
      <c r="AK134" s="67" t="str">
        <f t="shared" si="119"/>
        <v/>
      </c>
      <c r="AL134" s="67" t="str">
        <f t="shared" si="119"/>
        <v/>
      </c>
      <c r="AM134" s="67" t="str">
        <f t="shared" si="119"/>
        <v/>
      </c>
      <c r="AN134" s="67" t="str">
        <f t="shared" si="119"/>
        <v/>
      </c>
      <c r="AO134" s="67" t="str">
        <f t="shared" si="120"/>
        <v/>
      </c>
      <c r="AP134" s="67" t="str">
        <f t="shared" si="120"/>
        <v/>
      </c>
      <c r="AQ134" s="67" t="str">
        <f t="shared" si="120"/>
        <v/>
      </c>
      <c r="AR134" s="67" t="str">
        <f t="shared" si="120"/>
        <v/>
      </c>
      <c r="AS134" s="67" t="str">
        <f t="shared" si="120"/>
        <v/>
      </c>
      <c r="AT134" s="67" t="str">
        <f t="shared" si="120"/>
        <v/>
      </c>
      <c r="AU134" s="68" t="str">
        <f t="shared" si="120"/>
        <v/>
      </c>
      <c r="AV134" s="68" t="str">
        <f t="shared" si="120"/>
        <v/>
      </c>
      <c r="AW134" s="68" t="str">
        <f t="shared" si="120"/>
        <v/>
      </c>
      <c r="AX134" s="68" t="str">
        <f t="shared" si="120"/>
        <v/>
      </c>
      <c r="AY134" s="68" t="str">
        <f t="shared" si="120"/>
        <v/>
      </c>
      <c r="AZ134" s="68" t="str">
        <f t="shared" si="120"/>
        <v/>
      </c>
      <c r="BA134" s="68" t="str">
        <f t="shared" si="120"/>
        <v>X</v>
      </c>
    </row>
    <row r="135" spans="1:87" s="60" customFormat="1" ht="21" customHeight="1">
      <c r="A135" s="28">
        <v>4</v>
      </c>
      <c r="B135" s="58">
        <v>5205231</v>
      </c>
      <c r="C135" s="27" t="s">
        <v>123</v>
      </c>
      <c r="D135" s="78" t="s">
        <v>50</v>
      </c>
      <c r="E135" s="62">
        <v>1</v>
      </c>
      <c r="F135" s="31">
        <f>VLOOKUP(B135,'Estampados por manguera'!A$2:B$500,2,FALSE)</f>
        <v>2</v>
      </c>
      <c r="G135" s="31">
        <f t="shared" si="104"/>
        <v>2</v>
      </c>
      <c r="H135" s="20">
        <v>6</v>
      </c>
      <c r="I135" s="29">
        <f t="shared" si="105"/>
        <v>12</v>
      </c>
      <c r="J135" s="32">
        <f t="shared" si="106"/>
        <v>180</v>
      </c>
      <c r="K135" s="31">
        <f t="shared" si="107"/>
        <v>192</v>
      </c>
      <c r="L135" s="11">
        <v>1204</v>
      </c>
      <c r="M135" s="31">
        <f>VLOOKUP(B135,'Mangueras por contenedor'!A$2:B$500,2,FALSE)</f>
        <v>60</v>
      </c>
      <c r="N135" s="35">
        <f t="shared" si="108"/>
        <v>1.6666666666666666E-2</v>
      </c>
      <c r="O135" s="11">
        <f t="shared" si="121"/>
        <v>33</v>
      </c>
      <c r="P135" s="11">
        <f t="shared" si="109"/>
        <v>720</v>
      </c>
      <c r="Q135" s="11">
        <f t="shared" si="110"/>
        <v>2</v>
      </c>
      <c r="R135" s="32">
        <f t="shared" si="111"/>
        <v>1440</v>
      </c>
      <c r="S135" s="32">
        <f t="shared" si="112"/>
        <v>33</v>
      </c>
      <c r="T135" s="32">
        <f t="shared" si="113"/>
        <v>120</v>
      </c>
      <c r="U135" s="59" t="str">
        <f t="shared" si="118"/>
        <v/>
      </c>
      <c r="V135" s="59" t="str">
        <f t="shared" si="118"/>
        <v/>
      </c>
      <c r="W135" s="59" t="str">
        <f t="shared" si="118"/>
        <v/>
      </c>
      <c r="X135" s="59" t="str">
        <f t="shared" si="118"/>
        <v/>
      </c>
      <c r="Y135" s="59" t="str">
        <f t="shared" si="118"/>
        <v/>
      </c>
      <c r="Z135" s="59" t="str">
        <f t="shared" si="118"/>
        <v/>
      </c>
      <c r="AA135" s="59" t="str">
        <f t="shared" si="118"/>
        <v/>
      </c>
      <c r="AB135" s="59" t="str">
        <f t="shared" si="118"/>
        <v/>
      </c>
      <c r="AC135" s="59" t="str">
        <f t="shared" si="118"/>
        <v/>
      </c>
      <c r="AD135" s="59" t="str">
        <f t="shared" si="118"/>
        <v/>
      </c>
      <c r="AE135" s="59" t="str">
        <f t="shared" si="119"/>
        <v/>
      </c>
      <c r="AF135" s="59" t="str">
        <f t="shared" si="119"/>
        <v/>
      </c>
      <c r="AG135" s="59" t="str">
        <f t="shared" si="119"/>
        <v/>
      </c>
      <c r="AH135" s="67" t="str">
        <f t="shared" si="119"/>
        <v/>
      </c>
      <c r="AI135" s="67" t="str">
        <f t="shared" si="119"/>
        <v/>
      </c>
      <c r="AJ135" s="67" t="str">
        <f t="shared" si="119"/>
        <v/>
      </c>
      <c r="AK135" s="67" t="str">
        <f t="shared" si="119"/>
        <v/>
      </c>
      <c r="AL135" s="67" t="str">
        <f t="shared" si="119"/>
        <v/>
      </c>
      <c r="AM135" s="67" t="str">
        <f t="shared" si="119"/>
        <v/>
      </c>
      <c r="AN135" s="67" t="str">
        <f t="shared" si="119"/>
        <v/>
      </c>
      <c r="AO135" s="67" t="str">
        <f t="shared" si="120"/>
        <v/>
      </c>
      <c r="AP135" s="67" t="str">
        <f t="shared" si="120"/>
        <v/>
      </c>
      <c r="AQ135" s="67" t="str">
        <f t="shared" si="120"/>
        <v/>
      </c>
      <c r="AR135" s="67" t="str">
        <f t="shared" si="120"/>
        <v/>
      </c>
      <c r="AS135" s="67" t="str">
        <f t="shared" si="120"/>
        <v/>
      </c>
      <c r="AT135" s="67" t="str">
        <f t="shared" si="120"/>
        <v/>
      </c>
      <c r="AU135" s="68" t="str">
        <f t="shared" si="120"/>
        <v/>
      </c>
      <c r="AV135" s="68" t="str">
        <f t="shared" si="120"/>
        <v/>
      </c>
      <c r="AW135" s="68" t="str">
        <f t="shared" si="120"/>
        <v/>
      </c>
      <c r="AX135" s="68" t="str">
        <f t="shared" si="120"/>
        <v/>
      </c>
      <c r="AY135" s="68" t="str">
        <f t="shared" si="120"/>
        <v/>
      </c>
      <c r="AZ135" s="68" t="str">
        <f t="shared" si="120"/>
        <v/>
      </c>
      <c r="BA135" s="68" t="str">
        <f t="shared" si="120"/>
        <v>X</v>
      </c>
    </row>
    <row r="136" spans="1:87" s="60" customFormat="1" ht="21" customHeight="1">
      <c r="A136" s="28">
        <v>4</v>
      </c>
      <c r="B136" s="58">
        <v>5305280</v>
      </c>
      <c r="C136" s="27" t="s">
        <v>197</v>
      </c>
      <c r="D136" s="78" t="s">
        <v>50</v>
      </c>
      <c r="E136" s="62">
        <v>1</v>
      </c>
      <c r="F136" s="31">
        <f>VLOOKUP(B136,'Estampados por manguera'!A$2:B$500,2,FALSE)</f>
        <v>1</v>
      </c>
      <c r="G136" s="31">
        <f t="shared" si="104"/>
        <v>1</v>
      </c>
      <c r="H136" s="20">
        <v>6</v>
      </c>
      <c r="I136" s="29">
        <f t="shared" si="105"/>
        <v>6</v>
      </c>
      <c r="J136" s="32">
        <f t="shared" si="106"/>
        <v>180</v>
      </c>
      <c r="K136" s="31">
        <f t="shared" si="107"/>
        <v>186</v>
      </c>
      <c r="L136" s="11">
        <v>1201</v>
      </c>
      <c r="M136" s="31">
        <f>VLOOKUP(B136,'Mangueras por contenedor'!A$2:B$500,2,FALSE)</f>
        <v>64</v>
      </c>
      <c r="N136" s="35">
        <f t="shared" si="108"/>
        <v>1.5625E-2</v>
      </c>
      <c r="O136" s="11">
        <f t="shared" si="121"/>
        <v>33</v>
      </c>
      <c r="P136" s="11">
        <f t="shared" si="109"/>
        <v>384</v>
      </c>
      <c r="Q136" s="11">
        <f t="shared" si="110"/>
        <v>2</v>
      </c>
      <c r="R136" s="32">
        <f t="shared" si="111"/>
        <v>768</v>
      </c>
      <c r="S136" s="32">
        <f t="shared" si="112"/>
        <v>33</v>
      </c>
      <c r="T136" s="32">
        <f t="shared" si="113"/>
        <v>128</v>
      </c>
      <c r="U136" s="59" t="str">
        <f t="shared" si="118"/>
        <v/>
      </c>
      <c r="V136" s="59" t="str">
        <f t="shared" si="118"/>
        <v/>
      </c>
      <c r="W136" s="59" t="str">
        <f t="shared" si="118"/>
        <v/>
      </c>
      <c r="X136" s="59" t="str">
        <f t="shared" si="118"/>
        <v/>
      </c>
      <c r="Y136" s="59" t="str">
        <f t="shared" si="118"/>
        <v/>
      </c>
      <c r="Z136" s="59" t="str">
        <f t="shared" si="118"/>
        <v/>
      </c>
      <c r="AA136" s="59" t="str">
        <f t="shared" si="118"/>
        <v/>
      </c>
      <c r="AB136" s="59" t="str">
        <f t="shared" si="118"/>
        <v/>
      </c>
      <c r="AC136" s="59" t="str">
        <f t="shared" si="118"/>
        <v/>
      </c>
      <c r="AD136" s="59" t="str">
        <f t="shared" si="118"/>
        <v/>
      </c>
      <c r="AE136" s="59" t="str">
        <f t="shared" si="119"/>
        <v/>
      </c>
      <c r="AF136" s="59" t="str">
        <f t="shared" si="119"/>
        <v/>
      </c>
      <c r="AG136" s="59" t="str">
        <f t="shared" si="119"/>
        <v/>
      </c>
      <c r="AH136" s="67" t="str">
        <f t="shared" si="119"/>
        <v/>
      </c>
      <c r="AI136" s="67" t="str">
        <f t="shared" si="119"/>
        <v/>
      </c>
      <c r="AJ136" s="67" t="str">
        <f t="shared" si="119"/>
        <v/>
      </c>
      <c r="AK136" s="67" t="str">
        <f t="shared" si="119"/>
        <v/>
      </c>
      <c r="AL136" s="67" t="str">
        <f t="shared" si="119"/>
        <v/>
      </c>
      <c r="AM136" s="67" t="str">
        <f t="shared" si="119"/>
        <v/>
      </c>
      <c r="AN136" s="67" t="str">
        <f t="shared" si="119"/>
        <v/>
      </c>
      <c r="AO136" s="67" t="str">
        <f t="shared" si="120"/>
        <v/>
      </c>
      <c r="AP136" s="67" t="str">
        <f t="shared" si="120"/>
        <v/>
      </c>
      <c r="AQ136" s="67" t="str">
        <f t="shared" si="120"/>
        <v/>
      </c>
      <c r="AR136" s="67" t="str">
        <f t="shared" si="120"/>
        <v/>
      </c>
      <c r="AS136" s="67" t="str">
        <f t="shared" si="120"/>
        <v/>
      </c>
      <c r="AT136" s="67" t="str">
        <f t="shared" si="120"/>
        <v/>
      </c>
      <c r="AU136" s="68" t="str">
        <f t="shared" si="120"/>
        <v/>
      </c>
      <c r="AV136" s="68" t="str">
        <f t="shared" si="120"/>
        <v/>
      </c>
      <c r="AW136" s="68" t="str">
        <f t="shared" si="120"/>
        <v/>
      </c>
      <c r="AX136" s="68" t="str">
        <f t="shared" si="120"/>
        <v/>
      </c>
      <c r="AY136" s="68" t="str">
        <f t="shared" si="120"/>
        <v/>
      </c>
      <c r="AZ136" s="68" t="str">
        <f t="shared" si="120"/>
        <v/>
      </c>
      <c r="BA136" s="68" t="str">
        <f t="shared" si="120"/>
        <v>X</v>
      </c>
    </row>
    <row r="137" spans="1:87" s="60" customFormat="1" ht="21" customHeight="1">
      <c r="A137" s="5"/>
      <c r="B137" s="61"/>
      <c r="C137"/>
      <c r="D137" s="89"/>
      <c r="E137" s="84"/>
      <c r="G137" s="9"/>
      <c r="H137" s="8"/>
      <c r="I137" s="3"/>
      <c r="J137" s="42"/>
      <c r="K137" s="9"/>
      <c r="L137" s="2"/>
      <c r="M137" s="9"/>
      <c r="N137" s="66"/>
      <c r="O137" s="2"/>
      <c r="P137" s="2"/>
      <c r="Q137" s="42"/>
      <c r="R137" s="42"/>
      <c r="S137" s="42"/>
      <c r="T137" s="42" t="s">
        <v>107</v>
      </c>
      <c r="U137" s="14">
        <f t="shared" ref="U137:BA137" si="122">SUMIFS($P$114:$P$129,U116:U131,"x")</f>
        <v>0</v>
      </c>
      <c r="V137" s="14">
        <f t="shared" si="122"/>
        <v>0</v>
      </c>
      <c r="W137" s="14">
        <f t="shared" si="122"/>
        <v>1080</v>
      </c>
      <c r="X137" s="14">
        <f t="shared" si="122"/>
        <v>4590</v>
      </c>
      <c r="Y137" s="14">
        <f t="shared" si="122"/>
        <v>0</v>
      </c>
      <c r="Z137" s="14">
        <f t="shared" si="122"/>
        <v>3480</v>
      </c>
      <c r="AA137" s="14">
        <f t="shared" si="122"/>
        <v>0</v>
      </c>
      <c r="AB137" s="14">
        <f t="shared" si="122"/>
        <v>5130</v>
      </c>
      <c r="AC137" s="14">
        <f t="shared" si="122"/>
        <v>1080</v>
      </c>
      <c r="AD137" s="14">
        <f t="shared" si="122"/>
        <v>0</v>
      </c>
      <c r="AE137" s="14">
        <f t="shared" si="122"/>
        <v>0</v>
      </c>
      <c r="AF137" s="14">
        <f t="shared" si="122"/>
        <v>8070</v>
      </c>
      <c r="AG137" s="14">
        <f t="shared" si="122"/>
        <v>0</v>
      </c>
      <c r="AH137" s="14">
        <f t="shared" si="122"/>
        <v>1200</v>
      </c>
      <c r="AI137" s="14">
        <f t="shared" si="122"/>
        <v>1080</v>
      </c>
      <c r="AJ137" s="14">
        <f t="shared" si="122"/>
        <v>5130</v>
      </c>
      <c r="AK137" s="14">
        <f t="shared" si="122"/>
        <v>0</v>
      </c>
      <c r="AL137" s="14">
        <f t="shared" si="122"/>
        <v>3480</v>
      </c>
      <c r="AM137" s="14">
        <f t="shared" si="122"/>
        <v>0</v>
      </c>
      <c r="AN137" s="14">
        <f t="shared" si="122"/>
        <v>8430</v>
      </c>
      <c r="AO137" s="14">
        <f t="shared" si="122"/>
        <v>1080</v>
      </c>
      <c r="AP137" s="14">
        <f t="shared" si="122"/>
        <v>0</v>
      </c>
      <c r="AQ137" s="14">
        <f t="shared" si="122"/>
        <v>0</v>
      </c>
      <c r="AR137" s="14">
        <f t="shared" si="122"/>
        <v>8610</v>
      </c>
      <c r="AS137" s="14">
        <f t="shared" si="122"/>
        <v>0</v>
      </c>
      <c r="AT137" s="14">
        <f t="shared" si="122"/>
        <v>0</v>
      </c>
      <c r="AU137" s="14">
        <f t="shared" si="122"/>
        <v>3480</v>
      </c>
      <c r="AV137" s="14">
        <f t="shared" si="122"/>
        <v>5790</v>
      </c>
      <c r="AW137" s="14">
        <f t="shared" si="122"/>
        <v>0</v>
      </c>
      <c r="AX137" s="14">
        <f t="shared" si="122"/>
        <v>3480</v>
      </c>
      <c r="AY137" s="14">
        <f t="shared" si="122"/>
        <v>0</v>
      </c>
      <c r="AZ137" s="14">
        <f t="shared" si="122"/>
        <v>5130</v>
      </c>
      <c r="BA137" s="14">
        <f t="shared" si="122"/>
        <v>1080</v>
      </c>
    </row>
    <row r="138" spans="1:87" s="60" customFormat="1" ht="21" customHeight="1">
      <c r="A138" s="5"/>
      <c r="B138" s="61"/>
      <c r="C138"/>
      <c r="D138" s="89"/>
      <c r="E138" s="84"/>
      <c r="G138" s="9"/>
      <c r="H138" s="8"/>
      <c r="I138" s="3"/>
      <c r="J138" s="42"/>
      <c r="K138" s="9"/>
      <c r="L138" s="2"/>
      <c r="M138" s="9"/>
      <c r="N138" s="66"/>
      <c r="O138" s="2"/>
      <c r="P138" s="2"/>
      <c r="Q138" s="42"/>
      <c r="R138" s="42"/>
      <c r="S138" s="42"/>
      <c r="T138" s="42" t="s">
        <v>10</v>
      </c>
      <c r="U138" s="14">
        <f t="shared" ref="U138:BA138" si="123">(COUNTIF(U116:U131,"X"))*180</f>
        <v>0</v>
      </c>
      <c r="V138" s="14">
        <f t="shared" si="123"/>
        <v>0</v>
      </c>
      <c r="W138" s="14">
        <f t="shared" si="123"/>
        <v>360</v>
      </c>
      <c r="X138" s="14">
        <f t="shared" si="123"/>
        <v>1440</v>
      </c>
      <c r="Y138" s="14">
        <f t="shared" si="123"/>
        <v>0</v>
      </c>
      <c r="Z138" s="14">
        <f t="shared" si="123"/>
        <v>720</v>
      </c>
      <c r="AA138" s="14">
        <f t="shared" si="123"/>
        <v>0</v>
      </c>
      <c r="AB138" s="14">
        <f t="shared" si="123"/>
        <v>1620</v>
      </c>
      <c r="AC138" s="14">
        <f t="shared" si="123"/>
        <v>360</v>
      </c>
      <c r="AD138" s="14">
        <f t="shared" si="123"/>
        <v>0</v>
      </c>
      <c r="AE138" s="14">
        <f t="shared" si="123"/>
        <v>0</v>
      </c>
      <c r="AF138" s="14">
        <f t="shared" si="123"/>
        <v>2160</v>
      </c>
      <c r="AG138" s="14">
        <f t="shared" si="123"/>
        <v>0</v>
      </c>
      <c r="AH138" s="14">
        <f t="shared" si="123"/>
        <v>180</v>
      </c>
      <c r="AI138" s="14">
        <f t="shared" si="123"/>
        <v>360</v>
      </c>
      <c r="AJ138" s="14">
        <f t="shared" si="123"/>
        <v>1620</v>
      </c>
      <c r="AK138" s="14">
        <f t="shared" si="123"/>
        <v>0</v>
      </c>
      <c r="AL138" s="14">
        <f t="shared" si="123"/>
        <v>720</v>
      </c>
      <c r="AM138" s="14">
        <f t="shared" si="123"/>
        <v>0</v>
      </c>
      <c r="AN138" s="14">
        <f t="shared" si="123"/>
        <v>1620</v>
      </c>
      <c r="AO138" s="14">
        <f t="shared" si="123"/>
        <v>360</v>
      </c>
      <c r="AP138" s="14">
        <f t="shared" si="123"/>
        <v>0</v>
      </c>
      <c r="AQ138" s="14">
        <f t="shared" si="123"/>
        <v>0</v>
      </c>
      <c r="AR138" s="14">
        <f t="shared" si="123"/>
        <v>2340</v>
      </c>
      <c r="AS138" s="14">
        <f t="shared" si="123"/>
        <v>0</v>
      </c>
      <c r="AT138" s="14">
        <f t="shared" si="123"/>
        <v>0</v>
      </c>
      <c r="AU138" s="14">
        <f t="shared" si="123"/>
        <v>540</v>
      </c>
      <c r="AV138" s="14">
        <f t="shared" si="123"/>
        <v>1620</v>
      </c>
      <c r="AW138" s="14">
        <f t="shared" si="123"/>
        <v>0</v>
      </c>
      <c r="AX138" s="14">
        <f t="shared" si="123"/>
        <v>720</v>
      </c>
      <c r="AY138" s="14">
        <f t="shared" si="123"/>
        <v>0</v>
      </c>
      <c r="AZ138" s="14">
        <f t="shared" si="123"/>
        <v>1620</v>
      </c>
      <c r="BA138" s="14">
        <f t="shared" si="123"/>
        <v>360</v>
      </c>
    </row>
    <row r="139" spans="1:87" s="60" customFormat="1" ht="21" customHeight="1">
      <c r="A139" s="5"/>
      <c r="B139" s="61"/>
      <c r="C139"/>
      <c r="D139" s="89"/>
      <c r="E139" s="84"/>
      <c r="G139" s="9"/>
      <c r="H139" s="8"/>
      <c r="I139" s="3"/>
      <c r="J139" s="42"/>
      <c r="K139" s="9"/>
      <c r="L139" s="2"/>
      <c r="M139" s="9"/>
      <c r="N139" s="66"/>
      <c r="O139" s="2"/>
      <c r="P139" s="2"/>
      <c r="Q139" s="42"/>
      <c r="R139" s="42"/>
      <c r="S139" s="42"/>
      <c r="T139" s="42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</row>
    <row r="140" spans="1:87" s="60" customFormat="1" ht="21" customHeight="1">
      <c r="A140" s="5"/>
      <c r="B140" s="61"/>
      <c r="C140"/>
      <c r="D140" s="89"/>
      <c r="E140" s="84"/>
      <c r="G140" s="9"/>
      <c r="H140" s="8"/>
      <c r="I140" s="3"/>
      <c r="J140" s="42"/>
      <c r="K140" s="9"/>
      <c r="L140" s="2"/>
      <c r="M140" s="9"/>
      <c r="N140" s="66"/>
      <c r="O140" s="2"/>
      <c r="P140" s="2"/>
      <c r="Q140" s="42"/>
      <c r="R140" s="42"/>
      <c r="S140" s="42"/>
      <c r="T140" s="42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</row>
    <row r="141" spans="1:87" s="60" customFormat="1" ht="21" customHeight="1">
      <c r="B141" s="77"/>
      <c r="D141" s="65"/>
      <c r="E141" s="13"/>
      <c r="F141" s="17"/>
      <c r="G141" s="17"/>
      <c r="H141" s="4"/>
      <c r="P141" s="2"/>
      <c r="Q141" s="2"/>
      <c r="R141" s="2"/>
      <c r="S141" s="2"/>
      <c r="T141" s="2"/>
      <c r="U141" s="170" t="s">
        <v>127</v>
      </c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1" t="s">
        <v>128</v>
      </c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2" t="s">
        <v>129</v>
      </c>
      <c r="AV141" s="172"/>
      <c r="AW141" s="172"/>
      <c r="AX141" s="172"/>
      <c r="AY141" s="172"/>
      <c r="AZ141" s="172"/>
      <c r="BA141" s="172"/>
      <c r="CH141"/>
      <c r="CI141"/>
    </row>
    <row r="142" spans="1:87" s="60" customFormat="1" ht="57.75" customHeight="1">
      <c r="A142" s="38" t="s">
        <v>12</v>
      </c>
      <c r="B142" s="85" t="s">
        <v>0</v>
      </c>
      <c r="C142" s="79" t="s">
        <v>1</v>
      </c>
      <c r="D142" s="39" t="s">
        <v>2</v>
      </c>
      <c r="E142" s="39" t="s">
        <v>108</v>
      </c>
      <c r="F142" s="40" t="s">
        <v>8</v>
      </c>
      <c r="G142" s="40" t="s">
        <v>9</v>
      </c>
      <c r="H142" s="40" t="s">
        <v>7</v>
      </c>
      <c r="I142" s="36" t="s">
        <v>105</v>
      </c>
      <c r="J142" s="38" t="s">
        <v>10</v>
      </c>
      <c r="K142" s="10" t="s">
        <v>11</v>
      </c>
      <c r="L142" s="38" t="s">
        <v>5</v>
      </c>
      <c r="M142" s="39" t="s">
        <v>101</v>
      </c>
      <c r="N142" s="39" t="s">
        <v>102</v>
      </c>
      <c r="O142" s="39" t="s">
        <v>103</v>
      </c>
      <c r="P142" s="37" t="s">
        <v>104</v>
      </c>
      <c r="Q142" s="37" t="s">
        <v>106</v>
      </c>
      <c r="R142" s="37" t="s">
        <v>201</v>
      </c>
      <c r="S142" s="39" t="s">
        <v>177</v>
      </c>
      <c r="T142" s="39" t="s">
        <v>173</v>
      </c>
      <c r="U142" s="53">
        <v>1</v>
      </c>
      <c r="V142" s="53">
        <v>2</v>
      </c>
      <c r="W142" s="53">
        <v>3</v>
      </c>
      <c r="X142" s="53">
        <v>4</v>
      </c>
      <c r="Y142" s="53">
        <v>5</v>
      </c>
      <c r="Z142" s="53">
        <v>6</v>
      </c>
      <c r="AA142" s="53">
        <v>7</v>
      </c>
      <c r="AB142" s="53">
        <v>8</v>
      </c>
      <c r="AC142" s="53">
        <v>9</v>
      </c>
      <c r="AD142" s="53">
        <v>10</v>
      </c>
      <c r="AE142" s="53">
        <v>11</v>
      </c>
      <c r="AF142" s="53">
        <v>12</v>
      </c>
      <c r="AG142" s="53">
        <v>13</v>
      </c>
      <c r="AH142" s="54">
        <v>14</v>
      </c>
      <c r="AI142" s="54">
        <v>15</v>
      </c>
      <c r="AJ142" s="54">
        <v>16</v>
      </c>
      <c r="AK142" s="54">
        <v>17</v>
      </c>
      <c r="AL142" s="54">
        <v>18</v>
      </c>
      <c r="AM142" s="54">
        <v>19</v>
      </c>
      <c r="AN142" s="54">
        <v>20</v>
      </c>
      <c r="AO142" s="54">
        <v>21</v>
      </c>
      <c r="AP142" s="54">
        <v>22</v>
      </c>
      <c r="AQ142" s="54">
        <v>23</v>
      </c>
      <c r="AR142" s="54">
        <v>24</v>
      </c>
      <c r="AS142" s="54">
        <v>25</v>
      </c>
      <c r="AT142" s="54">
        <v>26</v>
      </c>
      <c r="AU142" s="55">
        <v>27</v>
      </c>
      <c r="AV142" s="55">
        <v>28</v>
      </c>
      <c r="AW142" s="55">
        <v>29</v>
      </c>
      <c r="AX142" s="55">
        <v>30</v>
      </c>
      <c r="AY142" s="55">
        <v>31</v>
      </c>
      <c r="AZ142" s="55">
        <v>32</v>
      </c>
      <c r="BA142" s="55">
        <v>33</v>
      </c>
      <c r="CH142"/>
      <c r="CI142"/>
    </row>
    <row r="143" spans="1:87" ht="21" customHeight="1">
      <c r="A143" s="28">
        <v>5</v>
      </c>
      <c r="B143" s="58">
        <v>5205208</v>
      </c>
      <c r="C143" s="27" t="s">
        <v>198</v>
      </c>
      <c r="D143" s="78" t="s">
        <v>50</v>
      </c>
      <c r="E143" s="64">
        <v>48</v>
      </c>
      <c r="F143" s="31">
        <f>VLOOKUP(B143,'Estampados por manguera'!A$2:B$500,2,FALSE)</f>
        <v>2</v>
      </c>
      <c r="G143" s="20">
        <f t="shared" ref="G143:G172" si="124">F143*E143</f>
        <v>96</v>
      </c>
      <c r="H143" s="20">
        <v>6</v>
      </c>
      <c r="I143" s="29">
        <f t="shared" ref="I143:I172" si="125">H143*G143</f>
        <v>576</v>
      </c>
      <c r="J143" s="32">
        <f t="shared" ref="J143:J172" si="126">IF(G143&lt;1,0,180)</f>
        <v>180</v>
      </c>
      <c r="K143" s="31">
        <f t="shared" ref="K143:K172" si="127">I143+J143</f>
        <v>756</v>
      </c>
      <c r="L143" s="11">
        <v>1201</v>
      </c>
      <c r="M143" s="31">
        <f>VLOOKUP(B143,'Mangueras por contenedor'!A$2:B$500,2,FALSE)</f>
        <v>55</v>
      </c>
      <c r="N143" s="35">
        <f t="shared" ref="N143:N172" si="128">E143/M143</f>
        <v>0.87272727272727268</v>
      </c>
      <c r="O143" s="11">
        <f t="shared" ref="O143:O172" si="129">IF(N143&gt;=0.8,1,IF((N143*2)&gt;=0.8,2,IF((N143*3)&gt;=0.8,3,IF((N143*4)&gt;=0.8,4,IF((N143*5)&gt;=0.8,5,IF((N143*6)&gt;=0.8,6,IF((N143*7)&gt;=0.8,7,IF((N143*8)&gt;=0.8,8,IF((N143*9)&gt;=0.8,9,IF((N143*10)&gt;=0.8,10,IF((N143*11)&gt;=0.8,11,IF((N143*12)&gt;=0.8,12,IF((N143*13)&gt;=0.8,13,IF((N143*14)&gt;=0.8,14,(IF((N143*15)&gt;=0.8,15,IF((N143*16)&gt;=0.8,16,IF((N143*17)&gt;=0.8,17,IF((N143*18)&gt;=0.8,18,IF((N143*19)&gt;=0.8,19,IF((N143*20)&gt;=0.8,20,IF((N143*21)&gt;=0.8,21,IF((N143*22)&gt;=0.8,22,IF((N143*23)&gt;=0.8,23,IF((N143*24)&gt;=0.8,24,IF((N143*25)&gt;=0.8,25,IF((N143*26)&gt;=0.8,26,IF((N143*27)&gt;=0.8,27,IF((N143*28)&gt;=0.8,28,IF((N143*29)&gt;=0.8,29,IF((N143*30)&gt;=0.8,30,IF((N143*31)&gt;=0.8,31,IF((N143*32)&gt;=0.8,32,IF((N143*33)&gt;=0.8,33,33))))))))))))))))))))))))))))))))))</f>
        <v>1</v>
      </c>
      <c r="P143" s="11">
        <f t="shared" ref="P143:P172" si="130">F143*H143*M143</f>
        <v>660</v>
      </c>
      <c r="Q143" s="11">
        <f t="shared" ref="Q143:Q172" si="131">IF(M143&gt;=100,1,IF((M143*2)&gt;=100,2,IF((M143*3)&gt;=100,3,IF((M143*4)&gt;=100,4,5))))</f>
        <v>2</v>
      </c>
      <c r="R143" s="32">
        <f t="shared" ref="R143:R172" si="132">P143*Q143</f>
        <v>1320</v>
      </c>
      <c r="S143" s="32">
        <f t="shared" ref="S143:S172" si="133">IF((O143*Q143)&lt;33,(O143*Q143),33)</f>
        <v>2</v>
      </c>
      <c r="T143" s="32">
        <f t="shared" ref="T143:T172" si="134">M143*Q143</f>
        <v>110</v>
      </c>
      <c r="U143" s="59" t="str">
        <f t="shared" ref="U143:AD151" si="135">IF(OR(U$142/$S143=1,U$142/$S143=2,U$142/$S143=3,U$142/$S143=4,U$142/$S143=5,U$142/$S143=6,U$142/$S143=7,U$142/$S143=8,U$142/$S143=9,U$142/$S143=10,U$142/$S143=11,U$142/$S143=12,U$142/$S143=13,U$142/$S143=14,U$142/$S143=15,U$142/$S143=16,U$142/$S143=17,U$142/$S143=18,U$142/$S143=19,U$142/$S143=20,U$142/$S143=21,U$142/$S143=22,U$142/$S143=23,U$142/$S143=24,U$142/$S143=25,U$142/$S143=26,U$142/$S143=27,U$142/$S143=28,U$142/$S143=29,U$142/$S143=30,U$142/$S143=31,U$142/$S143=32,U$142/$S143=33),"X","")</f>
        <v/>
      </c>
      <c r="V143" s="59" t="str">
        <f t="shared" si="135"/>
        <v>X</v>
      </c>
      <c r="W143" s="59" t="str">
        <f t="shared" si="135"/>
        <v/>
      </c>
      <c r="X143" s="59" t="str">
        <f t="shared" si="135"/>
        <v>X</v>
      </c>
      <c r="Y143" s="59" t="str">
        <f t="shared" si="135"/>
        <v/>
      </c>
      <c r="Z143" s="59" t="str">
        <f t="shared" si="135"/>
        <v>X</v>
      </c>
      <c r="AA143" s="59" t="str">
        <f t="shared" si="135"/>
        <v/>
      </c>
      <c r="AB143" s="59" t="str">
        <f t="shared" si="135"/>
        <v>X</v>
      </c>
      <c r="AC143" s="59" t="str">
        <f t="shared" si="135"/>
        <v/>
      </c>
      <c r="AD143" s="59" t="str">
        <f t="shared" si="135"/>
        <v>X</v>
      </c>
      <c r="AE143" s="59" t="str">
        <f t="shared" ref="AE143:AN151" si="136">IF(OR(AE$142/$S143=1,AE$142/$S143=2,AE$142/$S143=3,AE$142/$S143=4,AE$142/$S143=5,AE$142/$S143=6,AE$142/$S143=7,AE$142/$S143=8,AE$142/$S143=9,AE$142/$S143=10,AE$142/$S143=11,AE$142/$S143=12,AE$142/$S143=13,AE$142/$S143=14,AE$142/$S143=15,AE$142/$S143=16,AE$142/$S143=17,AE$142/$S143=18,AE$142/$S143=19,AE$142/$S143=20,AE$142/$S143=21,AE$142/$S143=22,AE$142/$S143=23,AE$142/$S143=24,AE$142/$S143=25,AE$142/$S143=26,AE$142/$S143=27,AE$142/$S143=28,AE$142/$S143=29,AE$142/$S143=30,AE$142/$S143=31,AE$142/$S143=32,AE$142/$S143=33),"X","")</f>
        <v/>
      </c>
      <c r="AF143" s="59" t="str">
        <f t="shared" si="136"/>
        <v>X</v>
      </c>
      <c r="AG143" s="59" t="str">
        <f t="shared" si="136"/>
        <v/>
      </c>
      <c r="AH143" s="67" t="str">
        <f t="shared" si="136"/>
        <v>X</v>
      </c>
      <c r="AI143" s="67" t="str">
        <f t="shared" si="136"/>
        <v/>
      </c>
      <c r="AJ143" s="67" t="str">
        <f t="shared" si="136"/>
        <v>X</v>
      </c>
      <c r="AK143" s="67" t="str">
        <f t="shared" si="136"/>
        <v/>
      </c>
      <c r="AL143" s="67" t="str">
        <f t="shared" si="136"/>
        <v>X</v>
      </c>
      <c r="AM143" s="67" t="str">
        <f t="shared" si="136"/>
        <v/>
      </c>
      <c r="AN143" s="67" t="str">
        <f t="shared" si="136"/>
        <v>X</v>
      </c>
      <c r="AO143" s="67" t="str">
        <f t="shared" ref="AO143:BA151" si="137">IF(OR(AO$142/$S143=1,AO$142/$S143=2,AO$142/$S143=3,AO$142/$S143=4,AO$142/$S143=5,AO$142/$S143=6,AO$142/$S143=7,AO$142/$S143=8,AO$142/$S143=9,AO$142/$S143=10,AO$142/$S143=11,AO$142/$S143=12,AO$142/$S143=13,AO$142/$S143=14,AO$142/$S143=15,AO$142/$S143=16,AO$142/$S143=17,AO$142/$S143=18,AO$142/$S143=19,AO$142/$S143=20,AO$142/$S143=21,AO$142/$S143=22,AO$142/$S143=23,AO$142/$S143=24,AO$142/$S143=25,AO$142/$S143=26,AO$142/$S143=27,AO$142/$S143=28,AO$142/$S143=29,AO$142/$S143=30,AO$142/$S143=31,AO$142/$S143=32,AO$142/$S143=33),"X","")</f>
        <v/>
      </c>
      <c r="AP143" s="67" t="str">
        <f t="shared" si="137"/>
        <v>X</v>
      </c>
      <c r="AQ143" s="67" t="str">
        <f t="shared" si="137"/>
        <v/>
      </c>
      <c r="AR143" s="67" t="str">
        <f t="shared" si="137"/>
        <v>X</v>
      </c>
      <c r="AS143" s="67" t="str">
        <f t="shared" si="137"/>
        <v/>
      </c>
      <c r="AT143" s="67" t="str">
        <f t="shared" si="137"/>
        <v>X</v>
      </c>
      <c r="AU143" s="68" t="str">
        <f t="shared" si="137"/>
        <v/>
      </c>
      <c r="AV143" s="68" t="str">
        <f t="shared" si="137"/>
        <v>X</v>
      </c>
      <c r="AW143" s="68" t="str">
        <f t="shared" si="137"/>
        <v/>
      </c>
      <c r="AX143" s="68" t="str">
        <f t="shared" si="137"/>
        <v>X</v>
      </c>
      <c r="AY143" s="68" t="str">
        <f t="shared" si="137"/>
        <v/>
      </c>
      <c r="AZ143" s="68" t="str">
        <f t="shared" si="137"/>
        <v>X</v>
      </c>
      <c r="BA143" s="68" t="str">
        <f t="shared" si="137"/>
        <v/>
      </c>
    </row>
    <row r="144" spans="1:87" ht="21" customHeight="1">
      <c r="A144" s="28">
        <v>5</v>
      </c>
      <c r="B144" s="58">
        <v>5205675</v>
      </c>
      <c r="C144" s="27" t="s">
        <v>120</v>
      </c>
      <c r="D144" s="78" t="s">
        <v>50</v>
      </c>
      <c r="E144" s="64">
        <v>39</v>
      </c>
      <c r="F144" s="31">
        <f>VLOOKUP(B144,'Estampados por manguera'!A$2:B$500,2,FALSE)</f>
        <v>2</v>
      </c>
      <c r="G144" s="20">
        <f t="shared" si="124"/>
        <v>78</v>
      </c>
      <c r="H144" s="20">
        <v>6</v>
      </c>
      <c r="I144" s="29">
        <f t="shared" si="125"/>
        <v>468</v>
      </c>
      <c r="J144" s="32">
        <f t="shared" si="126"/>
        <v>180</v>
      </c>
      <c r="K144" s="31">
        <f t="shared" si="127"/>
        <v>648</v>
      </c>
      <c r="L144" s="11">
        <v>1200</v>
      </c>
      <c r="M144" s="31">
        <f>VLOOKUP(B144,'Mangueras por contenedor'!A$2:B$500,2,FALSE)</f>
        <v>40</v>
      </c>
      <c r="N144" s="35">
        <f t="shared" si="128"/>
        <v>0.97499999999999998</v>
      </c>
      <c r="O144" s="11">
        <f t="shared" si="129"/>
        <v>1</v>
      </c>
      <c r="P144" s="11">
        <f t="shared" si="130"/>
        <v>480</v>
      </c>
      <c r="Q144" s="11">
        <f t="shared" si="131"/>
        <v>3</v>
      </c>
      <c r="R144" s="32">
        <f t="shared" si="132"/>
        <v>1440</v>
      </c>
      <c r="S144" s="32">
        <f t="shared" si="133"/>
        <v>3</v>
      </c>
      <c r="T144" s="32">
        <f t="shared" si="134"/>
        <v>120</v>
      </c>
      <c r="U144" s="59" t="str">
        <f t="shared" si="135"/>
        <v/>
      </c>
      <c r="V144" s="59" t="str">
        <f t="shared" si="135"/>
        <v/>
      </c>
      <c r="W144" s="59" t="str">
        <f t="shared" si="135"/>
        <v>X</v>
      </c>
      <c r="X144" s="59" t="str">
        <f t="shared" si="135"/>
        <v/>
      </c>
      <c r="Y144" s="59" t="str">
        <f t="shared" si="135"/>
        <v/>
      </c>
      <c r="Z144" s="59" t="str">
        <f t="shared" si="135"/>
        <v>X</v>
      </c>
      <c r="AA144" s="59" t="str">
        <f t="shared" si="135"/>
        <v/>
      </c>
      <c r="AB144" s="59" t="str">
        <f t="shared" si="135"/>
        <v/>
      </c>
      <c r="AC144" s="59" t="str">
        <f t="shared" si="135"/>
        <v>X</v>
      </c>
      <c r="AD144" s="59" t="str">
        <f t="shared" si="135"/>
        <v/>
      </c>
      <c r="AE144" s="59" t="str">
        <f t="shared" si="136"/>
        <v/>
      </c>
      <c r="AF144" s="59" t="str">
        <f t="shared" si="136"/>
        <v>X</v>
      </c>
      <c r="AG144" s="59" t="str">
        <f t="shared" si="136"/>
        <v/>
      </c>
      <c r="AH144" s="67" t="str">
        <f t="shared" si="136"/>
        <v/>
      </c>
      <c r="AI144" s="67" t="str">
        <f t="shared" si="136"/>
        <v>X</v>
      </c>
      <c r="AJ144" s="67" t="str">
        <f t="shared" si="136"/>
        <v/>
      </c>
      <c r="AK144" s="67" t="str">
        <f t="shared" si="136"/>
        <v/>
      </c>
      <c r="AL144" s="67" t="str">
        <f t="shared" si="136"/>
        <v>X</v>
      </c>
      <c r="AM144" s="67" t="str">
        <f t="shared" si="136"/>
        <v/>
      </c>
      <c r="AN144" s="67" t="str">
        <f t="shared" si="136"/>
        <v/>
      </c>
      <c r="AO144" s="67" t="str">
        <f t="shared" si="137"/>
        <v>X</v>
      </c>
      <c r="AP144" s="67" t="str">
        <f t="shared" si="137"/>
        <v/>
      </c>
      <c r="AQ144" s="67" t="str">
        <f t="shared" si="137"/>
        <v/>
      </c>
      <c r="AR144" s="67" t="str">
        <f t="shared" si="137"/>
        <v>X</v>
      </c>
      <c r="AS144" s="67" t="str">
        <f t="shared" si="137"/>
        <v/>
      </c>
      <c r="AT144" s="67" t="str">
        <f t="shared" si="137"/>
        <v/>
      </c>
      <c r="AU144" s="68" t="str">
        <f t="shared" si="137"/>
        <v>X</v>
      </c>
      <c r="AV144" s="68" t="str">
        <f t="shared" si="137"/>
        <v/>
      </c>
      <c r="AW144" s="68" t="str">
        <f t="shared" si="137"/>
        <v/>
      </c>
      <c r="AX144" s="68" t="str">
        <f t="shared" si="137"/>
        <v>X</v>
      </c>
      <c r="AY144" s="68" t="str">
        <f t="shared" si="137"/>
        <v/>
      </c>
      <c r="AZ144" s="68" t="str">
        <f t="shared" si="137"/>
        <v/>
      </c>
      <c r="BA144" s="68" t="str">
        <f t="shared" si="137"/>
        <v>X</v>
      </c>
    </row>
    <row r="145" spans="1:53" ht="21" customHeight="1">
      <c r="A145" s="28">
        <v>5</v>
      </c>
      <c r="B145" s="58">
        <v>5205286</v>
      </c>
      <c r="C145" s="27" t="s">
        <v>66</v>
      </c>
      <c r="D145" s="78" t="s">
        <v>50</v>
      </c>
      <c r="E145" s="64">
        <v>35</v>
      </c>
      <c r="F145" s="31">
        <f>VLOOKUP(B145,'Estampados por manguera'!A$2:B$500,2,FALSE)</f>
        <v>2</v>
      </c>
      <c r="G145" s="20">
        <f t="shared" si="124"/>
        <v>70</v>
      </c>
      <c r="H145" s="20">
        <v>6</v>
      </c>
      <c r="I145" s="29">
        <f t="shared" si="125"/>
        <v>420</v>
      </c>
      <c r="J145" s="32">
        <f t="shared" si="126"/>
        <v>180</v>
      </c>
      <c r="K145" s="31">
        <f t="shared" si="127"/>
        <v>600</v>
      </c>
      <c r="L145" s="11">
        <v>1200</v>
      </c>
      <c r="M145" s="31">
        <f>VLOOKUP(B145,'Mangueras por contenedor'!A$2:B$500,2,FALSE)</f>
        <v>100</v>
      </c>
      <c r="N145" s="35">
        <f t="shared" si="128"/>
        <v>0.35</v>
      </c>
      <c r="O145" s="11">
        <f t="shared" si="129"/>
        <v>3</v>
      </c>
      <c r="P145" s="11">
        <f t="shared" si="130"/>
        <v>1200</v>
      </c>
      <c r="Q145" s="11">
        <f t="shared" si="131"/>
        <v>1</v>
      </c>
      <c r="R145" s="32">
        <f t="shared" si="132"/>
        <v>1200</v>
      </c>
      <c r="S145" s="32">
        <f t="shared" si="133"/>
        <v>3</v>
      </c>
      <c r="T145" s="32">
        <f t="shared" si="134"/>
        <v>100</v>
      </c>
      <c r="U145" s="59" t="str">
        <f t="shared" si="135"/>
        <v/>
      </c>
      <c r="V145" s="59" t="str">
        <f t="shared" si="135"/>
        <v/>
      </c>
      <c r="W145" s="59" t="str">
        <f t="shared" si="135"/>
        <v>X</v>
      </c>
      <c r="X145" s="59" t="str">
        <f t="shared" si="135"/>
        <v/>
      </c>
      <c r="Y145" s="59" t="str">
        <f t="shared" si="135"/>
        <v/>
      </c>
      <c r="Z145" s="59" t="str">
        <f t="shared" si="135"/>
        <v>X</v>
      </c>
      <c r="AA145" s="59" t="str">
        <f t="shared" si="135"/>
        <v/>
      </c>
      <c r="AB145" s="59" t="str">
        <f t="shared" si="135"/>
        <v/>
      </c>
      <c r="AC145" s="59" t="str">
        <f t="shared" si="135"/>
        <v>X</v>
      </c>
      <c r="AD145" s="59" t="str">
        <f t="shared" si="135"/>
        <v/>
      </c>
      <c r="AE145" s="59" t="str">
        <f t="shared" si="136"/>
        <v/>
      </c>
      <c r="AF145" s="59" t="str">
        <f t="shared" si="136"/>
        <v>X</v>
      </c>
      <c r="AG145" s="59" t="str">
        <f t="shared" si="136"/>
        <v/>
      </c>
      <c r="AH145" s="67" t="str">
        <f t="shared" si="136"/>
        <v/>
      </c>
      <c r="AI145" s="67" t="str">
        <f t="shared" si="136"/>
        <v>X</v>
      </c>
      <c r="AJ145" s="67" t="str">
        <f t="shared" si="136"/>
        <v/>
      </c>
      <c r="AK145" s="67" t="str">
        <f t="shared" si="136"/>
        <v/>
      </c>
      <c r="AL145" s="67" t="str">
        <f t="shared" si="136"/>
        <v>X</v>
      </c>
      <c r="AM145" s="67" t="str">
        <f t="shared" si="136"/>
        <v/>
      </c>
      <c r="AN145" s="67" t="str">
        <f t="shared" si="136"/>
        <v/>
      </c>
      <c r="AO145" s="67" t="str">
        <f t="shared" si="137"/>
        <v>X</v>
      </c>
      <c r="AP145" s="67" t="str">
        <f t="shared" si="137"/>
        <v/>
      </c>
      <c r="AQ145" s="67" t="str">
        <f t="shared" si="137"/>
        <v/>
      </c>
      <c r="AR145" s="67" t="str">
        <f t="shared" si="137"/>
        <v>X</v>
      </c>
      <c r="AS145" s="67" t="str">
        <f t="shared" si="137"/>
        <v/>
      </c>
      <c r="AT145" s="67" t="str">
        <f t="shared" si="137"/>
        <v/>
      </c>
      <c r="AU145" s="68" t="str">
        <f t="shared" si="137"/>
        <v>X</v>
      </c>
      <c r="AV145" s="68" t="str">
        <f t="shared" si="137"/>
        <v/>
      </c>
      <c r="AW145" s="68" t="str">
        <f t="shared" si="137"/>
        <v/>
      </c>
      <c r="AX145" s="68" t="str">
        <f t="shared" si="137"/>
        <v>X</v>
      </c>
      <c r="AY145" s="68" t="str">
        <f t="shared" si="137"/>
        <v/>
      </c>
      <c r="AZ145" s="68" t="str">
        <f t="shared" si="137"/>
        <v/>
      </c>
      <c r="BA145" s="68" t="str">
        <f t="shared" si="137"/>
        <v>X</v>
      </c>
    </row>
    <row r="146" spans="1:53" ht="21" customHeight="1">
      <c r="A146" s="28">
        <v>5</v>
      </c>
      <c r="B146" s="58">
        <v>5205321</v>
      </c>
      <c r="C146" s="27" t="s">
        <v>122</v>
      </c>
      <c r="D146" s="78" t="s">
        <v>50</v>
      </c>
      <c r="E146" s="64">
        <v>32</v>
      </c>
      <c r="F146" s="31">
        <f>VLOOKUP(B146,'Estampados por manguera'!A$2:B$500,2,FALSE)</f>
        <v>2</v>
      </c>
      <c r="G146" s="20">
        <f t="shared" si="124"/>
        <v>64</v>
      </c>
      <c r="H146" s="20">
        <v>6</v>
      </c>
      <c r="I146" s="29">
        <f t="shared" si="125"/>
        <v>384</v>
      </c>
      <c r="J146" s="32">
        <f t="shared" si="126"/>
        <v>180</v>
      </c>
      <c r="K146" s="31">
        <f t="shared" si="127"/>
        <v>564</v>
      </c>
      <c r="L146" s="11">
        <v>1200</v>
      </c>
      <c r="M146" s="31">
        <f>VLOOKUP(B146,'Mangueras por contenedor'!A$2:B$500,2,FALSE)</f>
        <v>100</v>
      </c>
      <c r="N146" s="35">
        <f t="shared" si="128"/>
        <v>0.32</v>
      </c>
      <c r="O146" s="11">
        <f t="shared" si="129"/>
        <v>3</v>
      </c>
      <c r="P146" s="11">
        <f t="shared" si="130"/>
        <v>1200</v>
      </c>
      <c r="Q146" s="11">
        <f t="shared" si="131"/>
        <v>1</v>
      </c>
      <c r="R146" s="32">
        <f t="shared" si="132"/>
        <v>1200</v>
      </c>
      <c r="S146" s="32">
        <f t="shared" si="133"/>
        <v>3</v>
      </c>
      <c r="T146" s="32">
        <f t="shared" si="134"/>
        <v>100</v>
      </c>
      <c r="U146" s="59" t="str">
        <f t="shared" si="135"/>
        <v/>
      </c>
      <c r="V146" s="59" t="str">
        <f t="shared" si="135"/>
        <v/>
      </c>
      <c r="W146" s="59" t="str">
        <f t="shared" si="135"/>
        <v>X</v>
      </c>
      <c r="X146" s="59" t="str">
        <f t="shared" si="135"/>
        <v/>
      </c>
      <c r="Y146" s="59" t="str">
        <f t="shared" si="135"/>
        <v/>
      </c>
      <c r="Z146" s="59" t="str">
        <f t="shared" si="135"/>
        <v>X</v>
      </c>
      <c r="AA146" s="59" t="str">
        <f t="shared" si="135"/>
        <v/>
      </c>
      <c r="AB146" s="59" t="str">
        <f t="shared" si="135"/>
        <v/>
      </c>
      <c r="AC146" s="59" t="str">
        <f t="shared" si="135"/>
        <v>X</v>
      </c>
      <c r="AD146" s="59" t="str">
        <f t="shared" si="135"/>
        <v/>
      </c>
      <c r="AE146" s="59" t="str">
        <f t="shared" si="136"/>
        <v/>
      </c>
      <c r="AF146" s="59" t="str">
        <f t="shared" si="136"/>
        <v>X</v>
      </c>
      <c r="AG146" s="59" t="str">
        <f t="shared" si="136"/>
        <v/>
      </c>
      <c r="AH146" s="67" t="str">
        <f t="shared" si="136"/>
        <v/>
      </c>
      <c r="AI146" s="67" t="str">
        <f t="shared" si="136"/>
        <v>X</v>
      </c>
      <c r="AJ146" s="67" t="str">
        <f t="shared" si="136"/>
        <v/>
      </c>
      <c r="AK146" s="67" t="str">
        <f t="shared" si="136"/>
        <v/>
      </c>
      <c r="AL146" s="67" t="str">
        <f t="shared" si="136"/>
        <v>X</v>
      </c>
      <c r="AM146" s="67" t="str">
        <f t="shared" si="136"/>
        <v/>
      </c>
      <c r="AN146" s="67" t="str">
        <f t="shared" si="136"/>
        <v/>
      </c>
      <c r="AO146" s="67" t="str">
        <f t="shared" si="137"/>
        <v>X</v>
      </c>
      <c r="AP146" s="67" t="str">
        <f t="shared" si="137"/>
        <v/>
      </c>
      <c r="AQ146" s="67" t="str">
        <f t="shared" si="137"/>
        <v/>
      </c>
      <c r="AR146" s="67" t="str">
        <f t="shared" si="137"/>
        <v>X</v>
      </c>
      <c r="AS146" s="67" t="str">
        <f t="shared" si="137"/>
        <v/>
      </c>
      <c r="AT146" s="67" t="str">
        <f t="shared" si="137"/>
        <v/>
      </c>
      <c r="AU146" s="68" t="str">
        <f t="shared" si="137"/>
        <v>X</v>
      </c>
      <c r="AV146" s="68" t="str">
        <f t="shared" si="137"/>
        <v/>
      </c>
      <c r="AW146" s="68" t="str">
        <f t="shared" si="137"/>
        <v/>
      </c>
      <c r="AX146" s="68" t="str">
        <f t="shared" si="137"/>
        <v>X</v>
      </c>
      <c r="AY146" s="68" t="str">
        <f t="shared" si="137"/>
        <v/>
      </c>
      <c r="AZ146" s="68" t="str">
        <f t="shared" si="137"/>
        <v/>
      </c>
      <c r="BA146" s="68" t="str">
        <f t="shared" si="137"/>
        <v>X</v>
      </c>
    </row>
    <row r="147" spans="1:53" ht="21" customHeight="1">
      <c r="A147" s="28">
        <v>5</v>
      </c>
      <c r="B147" s="58">
        <v>5305301</v>
      </c>
      <c r="C147" s="27" t="s">
        <v>20</v>
      </c>
      <c r="D147" s="78" t="s">
        <v>50</v>
      </c>
      <c r="E147" s="64">
        <v>30</v>
      </c>
      <c r="F147" s="31">
        <f>VLOOKUP(B147,'Estampados por manguera'!A$2:B$500,2,FALSE)</f>
        <v>1</v>
      </c>
      <c r="G147" s="20">
        <f t="shared" si="124"/>
        <v>30</v>
      </c>
      <c r="H147" s="20">
        <v>6</v>
      </c>
      <c r="I147" s="29">
        <f t="shared" si="125"/>
        <v>180</v>
      </c>
      <c r="J147" s="32">
        <f t="shared" si="126"/>
        <v>180</v>
      </c>
      <c r="K147" s="31">
        <f t="shared" si="127"/>
        <v>360</v>
      </c>
      <c r="L147" s="11">
        <v>1200</v>
      </c>
      <c r="M147" s="31">
        <f>VLOOKUP(B147,'Mangueras por contenedor'!A$2:B$500,2,FALSE)</f>
        <v>100</v>
      </c>
      <c r="N147" s="35">
        <f t="shared" si="128"/>
        <v>0.3</v>
      </c>
      <c r="O147" s="11">
        <f t="shared" si="129"/>
        <v>3</v>
      </c>
      <c r="P147" s="11">
        <f t="shared" si="130"/>
        <v>600</v>
      </c>
      <c r="Q147" s="11">
        <f t="shared" si="131"/>
        <v>1</v>
      </c>
      <c r="R147" s="32">
        <f t="shared" si="132"/>
        <v>600</v>
      </c>
      <c r="S147" s="32">
        <f t="shared" si="133"/>
        <v>3</v>
      </c>
      <c r="T147" s="32">
        <f t="shared" si="134"/>
        <v>100</v>
      </c>
      <c r="U147" s="59" t="str">
        <f t="shared" si="135"/>
        <v/>
      </c>
      <c r="V147" s="59" t="str">
        <f t="shared" si="135"/>
        <v/>
      </c>
      <c r="W147" s="59" t="str">
        <f t="shared" si="135"/>
        <v>X</v>
      </c>
      <c r="X147" s="59" t="str">
        <f t="shared" si="135"/>
        <v/>
      </c>
      <c r="Y147" s="59" t="str">
        <f t="shared" si="135"/>
        <v/>
      </c>
      <c r="Z147" s="59" t="str">
        <f t="shared" si="135"/>
        <v>X</v>
      </c>
      <c r="AA147" s="59" t="str">
        <f t="shared" si="135"/>
        <v/>
      </c>
      <c r="AB147" s="59" t="str">
        <f t="shared" si="135"/>
        <v/>
      </c>
      <c r="AC147" s="59" t="str">
        <f t="shared" si="135"/>
        <v>X</v>
      </c>
      <c r="AD147" s="59" t="str">
        <f t="shared" si="135"/>
        <v/>
      </c>
      <c r="AE147" s="59" t="str">
        <f t="shared" si="136"/>
        <v/>
      </c>
      <c r="AF147" s="59" t="str">
        <f t="shared" si="136"/>
        <v>X</v>
      </c>
      <c r="AG147" s="59" t="str">
        <f t="shared" si="136"/>
        <v/>
      </c>
      <c r="AH147" s="67" t="str">
        <f t="shared" si="136"/>
        <v/>
      </c>
      <c r="AI147" s="67" t="str">
        <f t="shared" si="136"/>
        <v>X</v>
      </c>
      <c r="AJ147" s="67" t="str">
        <f t="shared" si="136"/>
        <v/>
      </c>
      <c r="AK147" s="67" t="str">
        <f t="shared" si="136"/>
        <v/>
      </c>
      <c r="AL147" s="67" t="str">
        <f t="shared" si="136"/>
        <v>X</v>
      </c>
      <c r="AM147" s="67" t="str">
        <f t="shared" si="136"/>
        <v/>
      </c>
      <c r="AN147" s="67" t="str">
        <f t="shared" si="136"/>
        <v/>
      </c>
      <c r="AO147" s="67" t="str">
        <f t="shared" si="137"/>
        <v>X</v>
      </c>
      <c r="AP147" s="67" t="str">
        <f t="shared" si="137"/>
        <v/>
      </c>
      <c r="AQ147" s="67" t="str">
        <f t="shared" si="137"/>
        <v/>
      </c>
      <c r="AR147" s="67" t="str">
        <f t="shared" si="137"/>
        <v>X</v>
      </c>
      <c r="AS147" s="67" t="str">
        <f t="shared" si="137"/>
        <v/>
      </c>
      <c r="AT147" s="67" t="str">
        <f t="shared" si="137"/>
        <v/>
      </c>
      <c r="AU147" s="68" t="str">
        <f t="shared" si="137"/>
        <v>X</v>
      </c>
      <c r="AV147" s="68" t="str">
        <f t="shared" si="137"/>
        <v/>
      </c>
      <c r="AW147" s="68" t="str">
        <f t="shared" si="137"/>
        <v/>
      </c>
      <c r="AX147" s="68" t="str">
        <f t="shared" si="137"/>
        <v>X</v>
      </c>
      <c r="AY147" s="68" t="str">
        <f t="shared" si="137"/>
        <v/>
      </c>
      <c r="AZ147" s="68" t="str">
        <f t="shared" si="137"/>
        <v/>
      </c>
      <c r="BA147" s="68" t="str">
        <f t="shared" si="137"/>
        <v>X</v>
      </c>
    </row>
    <row r="148" spans="1:53" ht="21" customHeight="1">
      <c r="A148" s="28">
        <v>5</v>
      </c>
      <c r="B148" s="58">
        <v>5305419</v>
      </c>
      <c r="C148" s="27" t="s">
        <v>84</v>
      </c>
      <c r="D148" s="78" t="s">
        <v>50</v>
      </c>
      <c r="E148" s="64">
        <v>32</v>
      </c>
      <c r="F148" s="31">
        <f>VLOOKUP(B148,'Estampados por manguera'!A$2:B$500,2,FALSE)</f>
        <v>1</v>
      </c>
      <c r="G148" s="20">
        <f t="shared" si="124"/>
        <v>32</v>
      </c>
      <c r="H148" s="20">
        <v>6</v>
      </c>
      <c r="I148" s="29">
        <f t="shared" si="125"/>
        <v>192</v>
      </c>
      <c r="J148" s="32">
        <f t="shared" si="126"/>
        <v>180</v>
      </c>
      <c r="K148" s="31">
        <f t="shared" si="127"/>
        <v>372</v>
      </c>
      <c r="L148" s="11">
        <v>1200</v>
      </c>
      <c r="M148" s="31">
        <f>VLOOKUP(B148,'Mangueras por contenedor'!A$2:B$500,2,FALSE)</f>
        <v>70</v>
      </c>
      <c r="N148" s="35">
        <f t="shared" si="128"/>
        <v>0.45714285714285713</v>
      </c>
      <c r="O148" s="11">
        <f t="shared" si="129"/>
        <v>2</v>
      </c>
      <c r="P148" s="11">
        <f t="shared" si="130"/>
        <v>420</v>
      </c>
      <c r="Q148" s="11">
        <f t="shared" si="131"/>
        <v>2</v>
      </c>
      <c r="R148" s="32">
        <f t="shared" si="132"/>
        <v>840</v>
      </c>
      <c r="S148" s="32">
        <f t="shared" si="133"/>
        <v>4</v>
      </c>
      <c r="T148" s="32">
        <f t="shared" si="134"/>
        <v>140</v>
      </c>
      <c r="U148" s="59" t="str">
        <f t="shared" si="135"/>
        <v/>
      </c>
      <c r="V148" s="59" t="str">
        <f t="shared" si="135"/>
        <v/>
      </c>
      <c r="W148" s="59" t="str">
        <f t="shared" si="135"/>
        <v/>
      </c>
      <c r="X148" s="59" t="str">
        <f t="shared" si="135"/>
        <v>X</v>
      </c>
      <c r="Y148" s="59" t="str">
        <f t="shared" si="135"/>
        <v/>
      </c>
      <c r="Z148" s="59" t="str">
        <f t="shared" si="135"/>
        <v/>
      </c>
      <c r="AA148" s="59" t="str">
        <f t="shared" si="135"/>
        <v/>
      </c>
      <c r="AB148" s="59" t="str">
        <f t="shared" si="135"/>
        <v>X</v>
      </c>
      <c r="AC148" s="59" t="str">
        <f t="shared" si="135"/>
        <v/>
      </c>
      <c r="AD148" s="59" t="str">
        <f t="shared" si="135"/>
        <v/>
      </c>
      <c r="AE148" s="59" t="str">
        <f t="shared" si="136"/>
        <v/>
      </c>
      <c r="AF148" s="59" t="str">
        <f t="shared" si="136"/>
        <v>X</v>
      </c>
      <c r="AG148" s="59" t="str">
        <f t="shared" si="136"/>
        <v/>
      </c>
      <c r="AH148" s="67" t="str">
        <f t="shared" si="136"/>
        <v/>
      </c>
      <c r="AI148" s="67" t="str">
        <f t="shared" si="136"/>
        <v/>
      </c>
      <c r="AJ148" s="67" t="str">
        <f t="shared" si="136"/>
        <v>X</v>
      </c>
      <c r="AK148" s="67" t="str">
        <f t="shared" si="136"/>
        <v/>
      </c>
      <c r="AL148" s="67" t="str">
        <f t="shared" si="136"/>
        <v/>
      </c>
      <c r="AM148" s="67" t="str">
        <f t="shared" si="136"/>
        <v/>
      </c>
      <c r="AN148" s="67" t="str">
        <f t="shared" si="136"/>
        <v>X</v>
      </c>
      <c r="AO148" s="67" t="str">
        <f t="shared" si="137"/>
        <v/>
      </c>
      <c r="AP148" s="67" t="str">
        <f t="shared" si="137"/>
        <v/>
      </c>
      <c r="AQ148" s="67" t="str">
        <f t="shared" si="137"/>
        <v/>
      </c>
      <c r="AR148" s="67" t="str">
        <f t="shared" si="137"/>
        <v>X</v>
      </c>
      <c r="AS148" s="67" t="str">
        <f t="shared" si="137"/>
        <v/>
      </c>
      <c r="AT148" s="67" t="str">
        <f t="shared" si="137"/>
        <v/>
      </c>
      <c r="AU148" s="68" t="str">
        <f t="shared" si="137"/>
        <v/>
      </c>
      <c r="AV148" s="68" t="str">
        <f t="shared" si="137"/>
        <v>X</v>
      </c>
      <c r="AW148" s="68" t="str">
        <f t="shared" si="137"/>
        <v/>
      </c>
      <c r="AX148" s="68" t="str">
        <f t="shared" si="137"/>
        <v/>
      </c>
      <c r="AY148" s="68" t="str">
        <f t="shared" si="137"/>
        <v/>
      </c>
      <c r="AZ148" s="68" t="str">
        <f t="shared" si="137"/>
        <v>X</v>
      </c>
      <c r="BA148" s="68" t="str">
        <f t="shared" si="137"/>
        <v/>
      </c>
    </row>
    <row r="149" spans="1:53" ht="21" customHeight="1">
      <c r="A149" s="28">
        <v>5</v>
      </c>
      <c r="B149" s="58">
        <v>5205356</v>
      </c>
      <c r="C149" s="27" t="s">
        <v>77</v>
      </c>
      <c r="D149" s="78" t="s">
        <v>50</v>
      </c>
      <c r="E149" s="64">
        <v>32</v>
      </c>
      <c r="F149" s="31">
        <f>VLOOKUP(B149,'Estampados por manguera'!A$2:B$500,2,FALSE)</f>
        <v>2</v>
      </c>
      <c r="G149" s="20">
        <f t="shared" si="124"/>
        <v>64</v>
      </c>
      <c r="H149" s="20">
        <v>6</v>
      </c>
      <c r="I149" s="29">
        <f t="shared" si="125"/>
        <v>384</v>
      </c>
      <c r="J149" s="32">
        <f t="shared" si="126"/>
        <v>180</v>
      </c>
      <c r="K149" s="31">
        <f t="shared" si="127"/>
        <v>564</v>
      </c>
      <c r="L149" s="11">
        <v>1204</v>
      </c>
      <c r="M149" s="31">
        <f>VLOOKUP(B149,'Mangueras por contenedor'!A$2:B$500,2,FALSE)</f>
        <v>65</v>
      </c>
      <c r="N149" s="35">
        <f t="shared" si="128"/>
        <v>0.49230769230769234</v>
      </c>
      <c r="O149" s="11">
        <f t="shared" si="129"/>
        <v>2</v>
      </c>
      <c r="P149" s="11">
        <f t="shared" si="130"/>
        <v>780</v>
      </c>
      <c r="Q149" s="11">
        <f t="shared" si="131"/>
        <v>2</v>
      </c>
      <c r="R149" s="32">
        <f t="shared" si="132"/>
        <v>1560</v>
      </c>
      <c r="S149" s="32">
        <f t="shared" si="133"/>
        <v>4</v>
      </c>
      <c r="T149" s="32">
        <f t="shared" si="134"/>
        <v>130</v>
      </c>
      <c r="U149" s="59" t="str">
        <f t="shared" si="135"/>
        <v/>
      </c>
      <c r="V149" s="59" t="str">
        <f t="shared" si="135"/>
        <v/>
      </c>
      <c r="W149" s="59" t="str">
        <f t="shared" si="135"/>
        <v/>
      </c>
      <c r="X149" s="59" t="str">
        <f t="shared" si="135"/>
        <v>X</v>
      </c>
      <c r="Y149" s="59" t="str">
        <f t="shared" si="135"/>
        <v/>
      </c>
      <c r="Z149" s="59" t="str">
        <f t="shared" si="135"/>
        <v/>
      </c>
      <c r="AA149" s="59" t="str">
        <f t="shared" si="135"/>
        <v/>
      </c>
      <c r="AB149" s="59" t="str">
        <f t="shared" si="135"/>
        <v>X</v>
      </c>
      <c r="AC149" s="59" t="str">
        <f t="shared" si="135"/>
        <v/>
      </c>
      <c r="AD149" s="59" t="str">
        <f t="shared" si="135"/>
        <v/>
      </c>
      <c r="AE149" s="59" t="str">
        <f t="shared" si="136"/>
        <v/>
      </c>
      <c r="AF149" s="59" t="str">
        <f t="shared" si="136"/>
        <v>X</v>
      </c>
      <c r="AG149" s="59" t="str">
        <f t="shared" si="136"/>
        <v/>
      </c>
      <c r="AH149" s="67" t="str">
        <f t="shared" si="136"/>
        <v/>
      </c>
      <c r="AI149" s="67" t="str">
        <f t="shared" si="136"/>
        <v/>
      </c>
      <c r="AJ149" s="67" t="str">
        <f t="shared" si="136"/>
        <v>X</v>
      </c>
      <c r="AK149" s="67" t="str">
        <f t="shared" si="136"/>
        <v/>
      </c>
      <c r="AL149" s="67" t="str">
        <f t="shared" si="136"/>
        <v/>
      </c>
      <c r="AM149" s="67" t="str">
        <f t="shared" si="136"/>
        <v/>
      </c>
      <c r="AN149" s="67" t="str">
        <f t="shared" si="136"/>
        <v>X</v>
      </c>
      <c r="AO149" s="67" t="str">
        <f t="shared" si="137"/>
        <v/>
      </c>
      <c r="AP149" s="67" t="str">
        <f t="shared" si="137"/>
        <v/>
      </c>
      <c r="AQ149" s="67" t="str">
        <f t="shared" si="137"/>
        <v/>
      </c>
      <c r="AR149" s="67" t="str">
        <f t="shared" si="137"/>
        <v>X</v>
      </c>
      <c r="AS149" s="67" t="str">
        <f t="shared" si="137"/>
        <v/>
      </c>
      <c r="AT149" s="67" t="str">
        <f t="shared" si="137"/>
        <v/>
      </c>
      <c r="AU149" s="68" t="str">
        <f t="shared" si="137"/>
        <v/>
      </c>
      <c r="AV149" s="68" t="str">
        <f t="shared" si="137"/>
        <v>X</v>
      </c>
      <c r="AW149" s="68" t="str">
        <f t="shared" si="137"/>
        <v/>
      </c>
      <c r="AX149" s="68" t="str">
        <f t="shared" si="137"/>
        <v/>
      </c>
      <c r="AY149" s="68" t="str">
        <f t="shared" si="137"/>
        <v/>
      </c>
      <c r="AZ149" s="68" t="str">
        <f t="shared" si="137"/>
        <v>X</v>
      </c>
      <c r="BA149" s="68" t="str">
        <f t="shared" si="137"/>
        <v/>
      </c>
    </row>
    <row r="150" spans="1:53" ht="21" customHeight="1">
      <c r="A150" s="28">
        <v>5</v>
      </c>
      <c r="B150" s="58">
        <v>5205217</v>
      </c>
      <c r="C150" s="27" t="s">
        <v>44</v>
      </c>
      <c r="D150" s="78" t="s">
        <v>50</v>
      </c>
      <c r="E150" s="64">
        <v>42</v>
      </c>
      <c r="F150" s="31">
        <f>VLOOKUP(B150,'Estampados por manguera'!A$2:B$500,2,FALSE)</f>
        <v>2</v>
      </c>
      <c r="G150" s="20">
        <f t="shared" si="124"/>
        <v>84</v>
      </c>
      <c r="H150" s="20">
        <v>6</v>
      </c>
      <c r="I150" s="29">
        <f t="shared" si="125"/>
        <v>504</v>
      </c>
      <c r="J150" s="32">
        <f t="shared" si="126"/>
        <v>180</v>
      </c>
      <c r="K150" s="31">
        <f t="shared" si="127"/>
        <v>684</v>
      </c>
      <c r="L150" s="11">
        <v>1200</v>
      </c>
      <c r="M150" s="31">
        <f>VLOOKUP(B150,'Mangueras por contenedor'!A$2:B$500,2,FALSE)</f>
        <v>70</v>
      </c>
      <c r="N150" s="35">
        <f t="shared" si="128"/>
        <v>0.6</v>
      </c>
      <c r="O150" s="11">
        <f t="shared" si="129"/>
        <v>2</v>
      </c>
      <c r="P150" s="11">
        <f t="shared" si="130"/>
        <v>840</v>
      </c>
      <c r="Q150" s="11">
        <f t="shared" si="131"/>
        <v>2</v>
      </c>
      <c r="R150" s="32">
        <f t="shared" si="132"/>
        <v>1680</v>
      </c>
      <c r="S150" s="32">
        <f t="shared" si="133"/>
        <v>4</v>
      </c>
      <c r="T150" s="32">
        <f t="shared" si="134"/>
        <v>140</v>
      </c>
      <c r="U150" s="59" t="str">
        <f t="shared" si="135"/>
        <v/>
      </c>
      <c r="V150" s="59" t="str">
        <f t="shared" si="135"/>
        <v/>
      </c>
      <c r="W150" s="59" t="str">
        <f t="shared" si="135"/>
        <v/>
      </c>
      <c r="X150" s="59" t="str">
        <f t="shared" si="135"/>
        <v>X</v>
      </c>
      <c r="Y150" s="59" t="str">
        <f t="shared" si="135"/>
        <v/>
      </c>
      <c r="Z150" s="59" t="str">
        <f t="shared" si="135"/>
        <v/>
      </c>
      <c r="AA150" s="59" t="str">
        <f t="shared" si="135"/>
        <v/>
      </c>
      <c r="AB150" s="59" t="str">
        <f t="shared" si="135"/>
        <v>X</v>
      </c>
      <c r="AC150" s="59" t="str">
        <f t="shared" si="135"/>
        <v/>
      </c>
      <c r="AD150" s="59" t="str">
        <f t="shared" si="135"/>
        <v/>
      </c>
      <c r="AE150" s="59" t="str">
        <f t="shared" si="136"/>
        <v/>
      </c>
      <c r="AF150" s="59" t="str">
        <f t="shared" si="136"/>
        <v>X</v>
      </c>
      <c r="AG150" s="59" t="str">
        <f t="shared" si="136"/>
        <v/>
      </c>
      <c r="AH150" s="67" t="str">
        <f t="shared" si="136"/>
        <v/>
      </c>
      <c r="AI150" s="67" t="str">
        <f t="shared" si="136"/>
        <v/>
      </c>
      <c r="AJ150" s="67" t="str">
        <f t="shared" si="136"/>
        <v>X</v>
      </c>
      <c r="AK150" s="67" t="str">
        <f t="shared" si="136"/>
        <v/>
      </c>
      <c r="AL150" s="67" t="str">
        <f t="shared" si="136"/>
        <v/>
      </c>
      <c r="AM150" s="67" t="str">
        <f t="shared" si="136"/>
        <v/>
      </c>
      <c r="AN150" s="67" t="str">
        <f t="shared" si="136"/>
        <v>X</v>
      </c>
      <c r="AO150" s="67" t="str">
        <f t="shared" si="137"/>
        <v/>
      </c>
      <c r="AP150" s="67" t="str">
        <f t="shared" si="137"/>
        <v/>
      </c>
      <c r="AQ150" s="67" t="str">
        <f t="shared" si="137"/>
        <v/>
      </c>
      <c r="AR150" s="67" t="str">
        <f t="shared" si="137"/>
        <v>X</v>
      </c>
      <c r="AS150" s="67" t="str">
        <f t="shared" si="137"/>
        <v/>
      </c>
      <c r="AT150" s="67" t="str">
        <f t="shared" si="137"/>
        <v/>
      </c>
      <c r="AU150" s="68" t="str">
        <f t="shared" si="137"/>
        <v/>
      </c>
      <c r="AV150" s="68" t="str">
        <f t="shared" si="137"/>
        <v>X</v>
      </c>
      <c r="AW150" s="68" t="str">
        <f t="shared" si="137"/>
        <v/>
      </c>
      <c r="AX150" s="68" t="str">
        <f t="shared" si="137"/>
        <v/>
      </c>
      <c r="AY150" s="68" t="str">
        <f t="shared" si="137"/>
        <v/>
      </c>
      <c r="AZ150" s="68" t="str">
        <f t="shared" si="137"/>
        <v>X</v>
      </c>
      <c r="BA150" s="68" t="str">
        <f t="shared" si="137"/>
        <v/>
      </c>
    </row>
    <row r="151" spans="1:53" ht="21" customHeight="1">
      <c r="A151" s="28">
        <v>5</v>
      </c>
      <c r="B151" s="58">
        <v>5205358</v>
      </c>
      <c r="C151" s="27" t="s">
        <v>85</v>
      </c>
      <c r="D151" s="78" t="s">
        <v>50</v>
      </c>
      <c r="E151" s="64">
        <v>31</v>
      </c>
      <c r="F151" s="31">
        <f>VLOOKUP(B151,'Estampados por manguera'!A$2:B$500,2,FALSE)</f>
        <v>2</v>
      </c>
      <c r="G151" s="20">
        <f t="shared" si="124"/>
        <v>62</v>
      </c>
      <c r="H151" s="20">
        <v>6</v>
      </c>
      <c r="I151" s="29">
        <f t="shared" si="125"/>
        <v>372</v>
      </c>
      <c r="J151" s="32">
        <f t="shared" si="126"/>
        <v>180</v>
      </c>
      <c r="K151" s="31">
        <f t="shared" si="127"/>
        <v>552</v>
      </c>
      <c r="L151" s="11">
        <v>1200</v>
      </c>
      <c r="M151" s="31">
        <f>VLOOKUP(B151,'Mangueras por contenedor'!A$2:B$500,2,FALSE)</f>
        <v>60</v>
      </c>
      <c r="N151" s="35">
        <f t="shared" si="128"/>
        <v>0.51666666666666672</v>
      </c>
      <c r="O151" s="11">
        <f t="shared" si="129"/>
        <v>2</v>
      </c>
      <c r="P151" s="11">
        <f t="shared" si="130"/>
        <v>720</v>
      </c>
      <c r="Q151" s="11">
        <f t="shared" si="131"/>
        <v>2</v>
      </c>
      <c r="R151" s="32">
        <f t="shared" si="132"/>
        <v>1440</v>
      </c>
      <c r="S151" s="32">
        <f t="shared" si="133"/>
        <v>4</v>
      </c>
      <c r="T151" s="32">
        <f t="shared" si="134"/>
        <v>120</v>
      </c>
      <c r="U151" s="59" t="str">
        <f t="shared" si="135"/>
        <v/>
      </c>
      <c r="V151" s="59" t="str">
        <f t="shared" si="135"/>
        <v/>
      </c>
      <c r="W151" s="59" t="str">
        <f t="shared" si="135"/>
        <v/>
      </c>
      <c r="X151" s="59" t="str">
        <f t="shared" si="135"/>
        <v>X</v>
      </c>
      <c r="Y151" s="59" t="str">
        <f t="shared" si="135"/>
        <v/>
      </c>
      <c r="Z151" s="59" t="str">
        <f t="shared" si="135"/>
        <v/>
      </c>
      <c r="AA151" s="59" t="str">
        <f t="shared" si="135"/>
        <v/>
      </c>
      <c r="AB151" s="59" t="str">
        <f t="shared" si="135"/>
        <v>X</v>
      </c>
      <c r="AC151" s="59" t="str">
        <f t="shared" si="135"/>
        <v/>
      </c>
      <c r="AD151" s="59" t="str">
        <f t="shared" si="135"/>
        <v/>
      </c>
      <c r="AE151" s="59" t="str">
        <f t="shared" si="136"/>
        <v/>
      </c>
      <c r="AF151" s="59" t="str">
        <f t="shared" si="136"/>
        <v>X</v>
      </c>
      <c r="AG151" s="59" t="str">
        <f t="shared" si="136"/>
        <v/>
      </c>
      <c r="AH151" s="67" t="str">
        <f t="shared" si="136"/>
        <v/>
      </c>
      <c r="AI151" s="67" t="str">
        <f t="shared" si="136"/>
        <v/>
      </c>
      <c r="AJ151" s="67" t="str">
        <f t="shared" si="136"/>
        <v>X</v>
      </c>
      <c r="AK151" s="67" t="str">
        <f t="shared" si="136"/>
        <v/>
      </c>
      <c r="AL151" s="67" t="str">
        <f t="shared" si="136"/>
        <v/>
      </c>
      <c r="AM151" s="67" t="str">
        <f t="shared" si="136"/>
        <v/>
      </c>
      <c r="AN151" s="67" t="str">
        <f t="shared" si="136"/>
        <v>X</v>
      </c>
      <c r="AO151" s="67" t="str">
        <f t="shared" si="137"/>
        <v/>
      </c>
      <c r="AP151" s="67" t="str">
        <f t="shared" si="137"/>
        <v/>
      </c>
      <c r="AQ151" s="67" t="s">
        <v>202</v>
      </c>
      <c r="AR151" s="67"/>
      <c r="AS151" s="67" t="str">
        <f t="shared" si="137"/>
        <v/>
      </c>
      <c r="AT151" s="67" t="str">
        <f t="shared" si="137"/>
        <v/>
      </c>
      <c r="AU151" s="68" t="str">
        <f t="shared" si="137"/>
        <v/>
      </c>
      <c r="AV151" s="68" t="str">
        <f t="shared" si="137"/>
        <v>X</v>
      </c>
      <c r="AW151" s="68" t="str">
        <f t="shared" si="137"/>
        <v/>
      </c>
      <c r="AX151" s="68" t="str">
        <f t="shared" si="137"/>
        <v/>
      </c>
      <c r="AY151" s="68" t="str">
        <f t="shared" si="137"/>
        <v/>
      </c>
      <c r="AZ151" s="68" t="str">
        <f t="shared" si="137"/>
        <v>X</v>
      </c>
      <c r="BA151" s="68" t="str">
        <f t="shared" si="137"/>
        <v/>
      </c>
    </row>
    <row r="152" spans="1:53" ht="21" customHeight="1">
      <c r="A152" s="28">
        <v>5</v>
      </c>
      <c r="B152" s="58">
        <v>5205674</v>
      </c>
      <c r="C152" s="27" t="s">
        <v>119</v>
      </c>
      <c r="D152" s="78" t="s">
        <v>50</v>
      </c>
      <c r="E152" s="64">
        <v>37</v>
      </c>
      <c r="F152" s="31">
        <f>VLOOKUP(B152,'Estampados por manguera'!A$2:B$500,2,FALSE)</f>
        <v>2</v>
      </c>
      <c r="G152" s="20">
        <f t="shared" si="124"/>
        <v>74</v>
      </c>
      <c r="H152" s="20">
        <v>6</v>
      </c>
      <c r="I152" s="29">
        <f t="shared" si="125"/>
        <v>444</v>
      </c>
      <c r="J152" s="32">
        <f t="shared" si="126"/>
        <v>180</v>
      </c>
      <c r="K152" s="31">
        <f t="shared" si="127"/>
        <v>624</v>
      </c>
      <c r="L152" s="11">
        <v>1200</v>
      </c>
      <c r="M152" s="31">
        <f>VLOOKUP(B152,'Mangueras por contenedor'!A$2:B$500,2,FALSE)</f>
        <v>80</v>
      </c>
      <c r="N152" s="35">
        <f t="shared" si="128"/>
        <v>0.46250000000000002</v>
      </c>
      <c r="O152" s="11">
        <f t="shared" si="129"/>
        <v>2</v>
      </c>
      <c r="P152" s="11">
        <f t="shared" si="130"/>
        <v>960</v>
      </c>
      <c r="Q152" s="11">
        <f t="shared" si="131"/>
        <v>2</v>
      </c>
      <c r="R152" s="32">
        <f t="shared" si="132"/>
        <v>1920</v>
      </c>
      <c r="S152" s="32">
        <f t="shared" si="133"/>
        <v>4</v>
      </c>
      <c r="T152" s="32">
        <f t="shared" si="134"/>
        <v>160</v>
      </c>
      <c r="U152" s="59" t="str">
        <f t="shared" ref="U152:AE155" si="138">IF(OR(U$142/$S152=1,U$142/$S152=2,U$142/$S152=3,U$142/$S152=4,U$142/$S152=5,U$142/$S152=6,U$142/$S152=7,U$142/$S152=8,U$142/$S152=9,U$142/$S152=10,U$142/$S152=11,U$142/$S152=12,U$142/$S152=13,U$142/$S152=14,U$142/$S152=15,U$142/$S152=16,U$142/$S152=17,U$142/$S152=18,U$142/$S152=19,U$142/$S152=20,U$142/$S152=21,U$142/$S152=22,U$142/$S152=23,U$142/$S152=24,U$142/$S152=25,U$142/$S152=26,U$142/$S152=27,U$142/$S152=28,U$142/$S152=29,U$142/$S152=30,U$142/$S152=31,U$142/$S152=32,U$142/$S152=33),"X","")</f>
        <v/>
      </c>
      <c r="V152" s="59" t="str">
        <f t="shared" si="138"/>
        <v/>
      </c>
      <c r="W152" s="59" t="str">
        <f t="shared" si="138"/>
        <v/>
      </c>
      <c r="X152" s="59" t="str">
        <f t="shared" si="138"/>
        <v>X</v>
      </c>
      <c r="Y152" s="59" t="str">
        <f t="shared" si="138"/>
        <v/>
      </c>
      <c r="Z152" s="59" t="str">
        <f t="shared" si="138"/>
        <v/>
      </c>
      <c r="AA152" s="59" t="str">
        <f t="shared" si="138"/>
        <v/>
      </c>
      <c r="AB152" s="59" t="str">
        <f t="shared" si="138"/>
        <v>X</v>
      </c>
      <c r="AC152" s="59" t="str">
        <f t="shared" si="138"/>
        <v/>
      </c>
      <c r="AD152" s="59" t="str">
        <f t="shared" si="138"/>
        <v/>
      </c>
      <c r="AE152" s="59" t="str">
        <f t="shared" si="138"/>
        <v/>
      </c>
      <c r="AF152" s="59"/>
      <c r="AG152" s="59" t="s">
        <v>202</v>
      </c>
      <c r="AH152" s="67" t="str">
        <f t="shared" ref="AH152:AQ155" si="139">IF(OR(AH$142/$S152=1,AH$142/$S152=2,AH$142/$S152=3,AH$142/$S152=4,AH$142/$S152=5,AH$142/$S152=6,AH$142/$S152=7,AH$142/$S152=8,AH$142/$S152=9,AH$142/$S152=10,AH$142/$S152=11,AH$142/$S152=12,AH$142/$S152=13,AH$142/$S152=14,AH$142/$S152=15,AH$142/$S152=16,AH$142/$S152=17,AH$142/$S152=18,AH$142/$S152=19,AH$142/$S152=20,AH$142/$S152=21,AH$142/$S152=22,AH$142/$S152=23,AH$142/$S152=24,AH$142/$S152=25,AH$142/$S152=26,AH$142/$S152=27,AH$142/$S152=28,AH$142/$S152=29,AH$142/$S152=30,AH$142/$S152=31,AH$142/$S152=32,AH$142/$S152=33),"X","")</f>
        <v/>
      </c>
      <c r="AI152" s="67" t="str">
        <f t="shared" si="139"/>
        <v/>
      </c>
      <c r="AJ152" s="67" t="str">
        <f t="shared" si="139"/>
        <v>X</v>
      </c>
      <c r="AK152" s="67" t="str">
        <f t="shared" si="139"/>
        <v/>
      </c>
      <c r="AL152" s="67" t="str">
        <f t="shared" si="139"/>
        <v/>
      </c>
      <c r="AM152" s="67" t="str">
        <f t="shared" si="139"/>
        <v/>
      </c>
      <c r="AN152" s="67" t="str">
        <f t="shared" si="139"/>
        <v>X</v>
      </c>
      <c r="AO152" s="67" t="str">
        <f t="shared" si="139"/>
        <v/>
      </c>
      <c r="AP152" s="67" t="str">
        <f t="shared" si="139"/>
        <v/>
      </c>
      <c r="AQ152" s="67" t="s">
        <v>202</v>
      </c>
      <c r="AR152" s="67"/>
      <c r="AS152" s="67" t="str">
        <f t="shared" ref="AR152:BA155" si="140">IF(OR(AS$142/$S152=1,AS$142/$S152=2,AS$142/$S152=3,AS$142/$S152=4,AS$142/$S152=5,AS$142/$S152=6,AS$142/$S152=7,AS$142/$S152=8,AS$142/$S152=9,AS$142/$S152=10,AS$142/$S152=11,AS$142/$S152=12,AS$142/$S152=13,AS$142/$S152=14,AS$142/$S152=15,AS$142/$S152=16,AS$142/$S152=17,AS$142/$S152=18,AS$142/$S152=19,AS$142/$S152=20,AS$142/$S152=21,AS$142/$S152=22,AS$142/$S152=23,AS$142/$S152=24,AS$142/$S152=25,AS$142/$S152=26,AS$142/$S152=27,AS$142/$S152=28,AS$142/$S152=29,AS$142/$S152=30,AS$142/$S152=31,AS$142/$S152=32,AS$142/$S152=33),"X","")</f>
        <v/>
      </c>
      <c r="AT152" s="67" t="str">
        <f t="shared" si="140"/>
        <v/>
      </c>
      <c r="AU152" s="68" t="str">
        <f t="shared" si="140"/>
        <v/>
      </c>
      <c r="AV152" s="68" t="str">
        <f t="shared" si="140"/>
        <v>X</v>
      </c>
      <c r="AW152" s="68" t="str">
        <f t="shared" si="140"/>
        <v/>
      </c>
      <c r="AX152" s="68" t="str">
        <f t="shared" si="140"/>
        <v/>
      </c>
      <c r="AY152" s="68" t="str">
        <f t="shared" si="140"/>
        <v/>
      </c>
      <c r="AZ152" s="68" t="str">
        <f t="shared" si="140"/>
        <v>X</v>
      </c>
      <c r="BA152" s="68" t="str">
        <f t="shared" si="140"/>
        <v/>
      </c>
    </row>
    <row r="153" spans="1:53" ht="21" customHeight="1">
      <c r="A153" s="28">
        <v>5</v>
      </c>
      <c r="B153" s="58">
        <v>5305343</v>
      </c>
      <c r="C153" s="27" t="s">
        <v>76</v>
      </c>
      <c r="D153" s="78" t="s">
        <v>50</v>
      </c>
      <c r="E153" s="64">
        <v>35</v>
      </c>
      <c r="F153" s="31">
        <f>VLOOKUP(B153,'Estampados por manguera'!A$2:B$500,2,FALSE)</f>
        <v>1</v>
      </c>
      <c r="G153" s="20">
        <f t="shared" si="124"/>
        <v>35</v>
      </c>
      <c r="H153" s="20">
        <v>6</v>
      </c>
      <c r="I153" s="29">
        <f t="shared" si="125"/>
        <v>210</v>
      </c>
      <c r="J153" s="32">
        <f t="shared" si="126"/>
        <v>180</v>
      </c>
      <c r="K153" s="31">
        <f t="shared" si="127"/>
        <v>390</v>
      </c>
      <c r="L153" s="11">
        <v>1200</v>
      </c>
      <c r="M153" s="31">
        <f>VLOOKUP(B153,'Mangueras por contenedor'!A$2:B$500,2,FALSE)</f>
        <v>25</v>
      </c>
      <c r="N153" s="35">
        <f t="shared" si="128"/>
        <v>1.4</v>
      </c>
      <c r="O153" s="11">
        <f t="shared" si="129"/>
        <v>1</v>
      </c>
      <c r="P153" s="11">
        <f t="shared" si="130"/>
        <v>150</v>
      </c>
      <c r="Q153" s="11">
        <f t="shared" si="131"/>
        <v>4</v>
      </c>
      <c r="R153" s="32">
        <f t="shared" si="132"/>
        <v>600</v>
      </c>
      <c r="S153" s="32">
        <f t="shared" si="133"/>
        <v>4</v>
      </c>
      <c r="T153" s="32">
        <f t="shared" si="134"/>
        <v>100</v>
      </c>
      <c r="U153" s="59" t="str">
        <f t="shared" si="138"/>
        <v/>
      </c>
      <c r="V153" s="59" t="str">
        <f t="shared" si="138"/>
        <v/>
      </c>
      <c r="W153" s="59" t="str">
        <f t="shared" si="138"/>
        <v/>
      </c>
      <c r="X153" s="59" t="str">
        <f t="shared" si="138"/>
        <v>X</v>
      </c>
      <c r="Y153" s="59" t="str">
        <f t="shared" si="138"/>
        <v/>
      </c>
      <c r="Z153" s="59" t="str">
        <f t="shared" si="138"/>
        <v/>
      </c>
      <c r="AA153" s="59" t="str">
        <f t="shared" si="138"/>
        <v/>
      </c>
      <c r="AB153" s="59" t="str">
        <f t="shared" si="138"/>
        <v>X</v>
      </c>
      <c r="AC153" s="59" t="str">
        <f t="shared" si="138"/>
        <v/>
      </c>
      <c r="AD153" s="59" t="str">
        <f t="shared" si="138"/>
        <v/>
      </c>
      <c r="AE153" s="59" t="str">
        <f t="shared" si="138"/>
        <v/>
      </c>
      <c r="AF153" s="59"/>
      <c r="AG153" s="59" t="s">
        <v>202</v>
      </c>
      <c r="AH153" s="67" t="str">
        <f t="shared" si="139"/>
        <v/>
      </c>
      <c r="AI153" s="67" t="str">
        <f t="shared" si="139"/>
        <v/>
      </c>
      <c r="AJ153" s="67" t="str">
        <f t="shared" si="139"/>
        <v>X</v>
      </c>
      <c r="AK153" s="67" t="str">
        <f t="shared" si="139"/>
        <v/>
      </c>
      <c r="AL153" s="67" t="str">
        <f t="shared" si="139"/>
        <v/>
      </c>
      <c r="AM153" s="67" t="str">
        <f t="shared" si="139"/>
        <v/>
      </c>
      <c r="AN153" s="67" t="str">
        <f t="shared" si="139"/>
        <v>X</v>
      </c>
      <c r="AO153" s="67" t="str">
        <f t="shared" si="139"/>
        <v/>
      </c>
      <c r="AP153" s="67" t="str">
        <f t="shared" si="139"/>
        <v/>
      </c>
      <c r="AQ153" s="67" t="s">
        <v>202</v>
      </c>
      <c r="AR153" s="67"/>
      <c r="AS153" s="67" t="str">
        <f t="shared" si="140"/>
        <v/>
      </c>
      <c r="AT153" s="67" t="str">
        <f t="shared" si="140"/>
        <v/>
      </c>
      <c r="AU153" s="68" t="str">
        <f t="shared" si="140"/>
        <v/>
      </c>
      <c r="AV153" s="68" t="str">
        <f t="shared" si="140"/>
        <v>X</v>
      </c>
      <c r="AW153" s="68" t="str">
        <f t="shared" si="140"/>
        <v/>
      </c>
      <c r="AX153" s="68" t="str">
        <f t="shared" si="140"/>
        <v/>
      </c>
      <c r="AY153" s="68" t="str">
        <f t="shared" si="140"/>
        <v/>
      </c>
      <c r="AZ153" s="68" t="str">
        <f t="shared" si="140"/>
        <v>X</v>
      </c>
      <c r="BA153" s="68" t="str">
        <f t="shared" si="140"/>
        <v/>
      </c>
    </row>
    <row r="154" spans="1:53" ht="21" customHeight="1">
      <c r="A154" s="28">
        <v>5</v>
      </c>
      <c r="B154" s="58">
        <v>5205268</v>
      </c>
      <c r="C154" s="27" t="s">
        <v>199</v>
      </c>
      <c r="D154" s="78" t="s">
        <v>50</v>
      </c>
      <c r="E154" s="64">
        <v>38</v>
      </c>
      <c r="F154" s="31">
        <f>VLOOKUP(B154,'Estampados por manguera'!A$2:B$500,2,FALSE)</f>
        <v>2</v>
      </c>
      <c r="G154" s="20">
        <f t="shared" si="124"/>
        <v>76</v>
      </c>
      <c r="H154" s="20">
        <v>6</v>
      </c>
      <c r="I154" s="29">
        <f t="shared" si="125"/>
        <v>456</v>
      </c>
      <c r="J154" s="32">
        <f t="shared" si="126"/>
        <v>180</v>
      </c>
      <c r="K154" s="31">
        <f t="shared" si="127"/>
        <v>636</v>
      </c>
      <c r="L154" s="11">
        <v>1206</v>
      </c>
      <c r="M154" s="31">
        <f>VLOOKUP(B154,'Mangueras por contenedor'!A$2:B$500,2,FALSE)</f>
        <v>50</v>
      </c>
      <c r="N154" s="35">
        <f t="shared" si="128"/>
        <v>0.76</v>
      </c>
      <c r="O154" s="11">
        <f t="shared" si="129"/>
        <v>2</v>
      </c>
      <c r="P154" s="11">
        <f t="shared" si="130"/>
        <v>600</v>
      </c>
      <c r="Q154" s="11">
        <f t="shared" si="131"/>
        <v>2</v>
      </c>
      <c r="R154" s="32">
        <f t="shared" si="132"/>
        <v>1200</v>
      </c>
      <c r="S154" s="32">
        <f t="shared" si="133"/>
        <v>4</v>
      </c>
      <c r="T154" s="32">
        <f t="shared" si="134"/>
        <v>100</v>
      </c>
      <c r="U154" s="59" t="str">
        <f t="shared" si="138"/>
        <v/>
      </c>
      <c r="V154" s="59" t="str">
        <f t="shared" si="138"/>
        <v/>
      </c>
      <c r="W154" s="59" t="str">
        <f t="shared" si="138"/>
        <v/>
      </c>
      <c r="X154" s="59" t="str">
        <f t="shared" si="138"/>
        <v>X</v>
      </c>
      <c r="Y154" s="59" t="str">
        <f t="shared" si="138"/>
        <v/>
      </c>
      <c r="Z154" s="59" t="str">
        <f t="shared" si="138"/>
        <v/>
      </c>
      <c r="AA154" s="59" t="str">
        <f t="shared" si="138"/>
        <v/>
      </c>
      <c r="AB154" s="59" t="str">
        <f t="shared" si="138"/>
        <v>X</v>
      </c>
      <c r="AC154" s="59" t="str">
        <f t="shared" si="138"/>
        <v/>
      </c>
      <c r="AD154" s="59" t="str">
        <f t="shared" si="138"/>
        <v/>
      </c>
      <c r="AE154" s="59" t="str">
        <f t="shared" si="138"/>
        <v/>
      </c>
      <c r="AF154" s="59"/>
      <c r="AG154" s="59" t="s">
        <v>202</v>
      </c>
      <c r="AH154" s="67" t="str">
        <f t="shared" si="139"/>
        <v/>
      </c>
      <c r="AI154" s="67" t="str">
        <f t="shared" si="139"/>
        <v/>
      </c>
      <c r="AJ154" s="67" t="str">
        <f t="shared" si="139"/>
        <v>X</v>
      </c>
      <c r="AK154" s="67" t="str">
        <f t="shared" si="139"/>
        <v/>
      </c>
      <c r="AL154" s="67" t="str">
        <f t="shared" si="139"/>
        <v/>
      </c>
      <c r="AM154" s="67" t="str">
        <f t="shared" si="139"/>
        <v/>
      </c>
      <c r="AN154" s="67" t="str">
        <f t="shared" si="139"/>
        <v>X</v>
      </c>
      <c r="AO154" s="67" t="str">
        <f t="shared" si="139"/>
        <v/>
      </c>
      <c r="AP154" s="67" t="str">
        <f t="shared" si="139"/>
        <v/>
      </c>
      <c r="AQ154" s="67" t="s">
        <v>202</v>
      </c>
      <c r="AR154" s="67"/>
      <c r="AS154" s="67" t="str">
        <f t="shared" si="140"/>
        <v/>
      </c>
      <c r="AT154" s="67" t="str">
        <f t="shared" si="140"/>
        <v/>
      </c>
      <c r="AU154" s="68" t="str">
        <f t="shared" si="140"/>
        <v/>
      </c>
      <c r="AV154" s="68" t="str">
        <f t="shared" si="140"/>
        <v>X</v>
      </c>
      <c r="AW154" s="68" t="str">
        <f t="shared" si="140"/>
        <v/>
      </c>
      <c r="AX154" s="68" t="str">
        <f t="shared" si="140"/>
        <v/>
      </c>
      <c r="AY154" s="68" t="str">
        <f t="shared" si="140"/>
        <v/>
      </c>
      <c r="AZ154" s="68" t="str">
        <f t="shared" si="140"/>
        <v>X</v>
      </c>
      <c r="BA154" s="68" t="str">
        <f t="shared" si="140"/>
        <v/>
      </c>
    </row>
    <row r="155" spans="1:53" ht="21" customHeight="1">
      <c r="A155" s="28">
        <v>5</v>
      </c>
      <c r="B155" s="58">
        <v>5205339</v>
      </c>
      <c r="C155" s="27" t="s">
        <v>72</v>
      </c>
      <c r="D155" s="78" t="s">
        <v>50</v>
      </c>
      <c r="E155" s="64">
        <v>32</v>
      </c>
      <c r="F155" s="31">
        <f>VLOOKUP(B155,'Estampados por manguera'!A$2:B$500,2,FALSE)</f>
        <v>2</v>
      </c>
      <c r="G155" s="20">
        <f t="shared" si="124"/>
        <v>64</v>
      </c>
      <c r="H155" s="20">
        <v>6</v>
      </c>
      <c r="I155" s="29">
        <f t="shared" si="125"/>
        <v>384</v>
      </c>
      <c r="J155" s="32">
        <f t="shared" si="126"/>
        <v>180</v>
      </c>
      <c r="K155" s="31">
        <f t="shared" si="127"/>
        <v>564</v>
      </c>
      <c r="L155" s="11">
        <v>1200</v>
      </c>
      <c r="M155" s="31">
        <f>VLOOKUP(B155,'Mangueras por contenedor'!A$2:B$500,2,FALSE)</f>
        <v>15</v>
      </c>
      <c r="N155" s="35">
        <f t="shared" si="128"/>
        <v>2.1333333333333333</v>
      </c>
      <c r="O155" s="11">
        <f t="shared" si="129"/>
        <v>1</v>
      </c>
      <c r="P155" s="11">
        <f t="shared" si="130"/>
        <v>180</v>
      </c>
      <c r="Q155" s="11">
        <f t="shared" si="131"/>
        <v>5</v>
      </c>
      <c r="R155" s="32">
        <f t="shared" si="132"/>
        <v>900</v>
      </c>
      <c r="S155" s="32">
        <f t="shared" si="133"/>
        <v>5</v>
      </c>
      <c r="T155" s="32">
        <f t="shared" si="134"/>
        <v>75</v>
      </c>
      <c r="U155" s="59" t="str">
        <f t="shared" si="138"/>
        <v/>
      </c>
      <c r="V155" s="59" t="str">
        <f t="shared" si="138"/>
        <v/>
      </c>
      <c r="W155" s="59" t="str">
        <f t="shared" si="138"/>
        <v/>
      </c>
      <c r="X155" s="59" t="str">
        <f t="shared" si="138"/>
        <v/>
      </c>
      <c r="Y155" s="59" t="str">
        <f t="shared" si="138"/>
        <v>X</v>
      </c>
      <c r="Z155" s="59" t="str">
        <f t="shared" si="138"/>
        <v/>
      </c>
      <c r="AA155" s="59" t="str">
        <f t="shared" si="138"/>
        <v/>
      </c>
      <c r="AB155" s="59" t="str">
        <f t="shared" si="138"/>
        <v/>
      </c>
      <c r="AC155" s="59" t="str">
        <f t="shared" si="138"/>
        <v/>
      </c>
      <c r="AD155" s="59" t="str">
        <f t="shared" si="138"/>
        <v>X</v>
      </c>
      <c r="AE155" s="59" t="str">
        <f t="shared" si="138"/>
        <v/>
      </c>
      <c r="AF155" s="59" t="str">
        <f>IF(OR(AF$142/$S155=1,AF$142/$S155=2,AF$142/$S155=3,AF$142/$S155=4,AF$142/$S155=5,AF$142/$S155=6,AF$142/$S155=7,AF$142/$S155=8,AF$142/$S155=9,AF$142/$S155=10,AF$142/$S155=11,AF$142/$S155=12,AF$142/$S155=13,AF$142/$S155=14,AF$142/$S155=15,AF$142/$S155=16,AF$142/$S155=17,AF$142/$S155=18,AF$142/$S155=19,AF$142/$S155=20,AF$142/$S155=21,AF$142/$S155=22,AF$142/$S155=23,AF$142/$S155=24,AF$142/$S155=25,AF$142/$S155=26,AF$142/$S155=27,AF$142/$S155=28,AF$142/$S155=29,AF$142/$S155=30,AF$142/$S155=31,AF$142/$S155=32,AF$142/$S155=33),"X","")</f>
        <v/>
      </c>
      <c r="AG155" s="59" t="str">
        <f>IF(OR(AG$142/$S155=1,AG$142/$S155=2,AG$142/$S155=3,AG$142/$S155=4,AG$142/$S155=5,AG$142/$S155=6,AG$142/$S155=7,AG$142/$S155=8,AG$142/$S155=9,AG$142/$S155=10,AG$142/$S155=11,AG$142/$S155=12,AG$142/$S155=13,AG$142/$S155=14,AG$142/$S155=15,AG$142/$S155=16,AG$142/$S155=17,AG$142/$S155=18,AG$142/$S155=19,AG$142/$S155=20,AG$142/$S155=21,AG$142/$S155=22,AG$142/$S155=23,AG$142/$S155=24,AG$142/$S155=25,AG$142/$S155=26,AG$142/$S155=27,AG$142/$S155=28,AG$142/$S155=29,AG$142/$S155=30,AG$142/$S155=31,AG$142/$S155=32,AG$142/$S155=33),"X","")</f>
        <v/>
      </c>
      <c r="AH155" s="67" t="str">
        <f t="shared" si="139"/>
        <v/>
      </c>
      <c r="AI155" s="67" t="str">
        <f t="shared" si="139"/>
        <v>X</v>
      </c>
      <c r="AJ155" s="67" t="str">
        <f t="shared" si="139"/>
        <v/>
      </c>
      <c r="AK155" s="67" t="str">
        <f t="shared" si="139"/>
        <v/>
      </c>
      <c r="AL155" s="67" t="str">
        <f t="shared" si="139"/>
        <v/>
      </c>
      <c r="AM155" s="67" t="str">
        <f t="shared" si="139"/>
        <v/>
      </c>
      <c r="AN155" s="67" t="str">
        <f t="shared" si="139"/>
        <v>X</v>
      </c>
      <c r="AO155" s="67" t="str">
        <f t="shared" si="139"/>
        <v/>
      </c>
      <c r="AP155" s="67" t="str">
        <f t="shared" si="139"/>
        <v/>
      </c>
      <c r="AQ155" s="67" t="str">
        <f t="shared" si="139"/>
        <v/>
      </c>
      <c r="AR155" s="67" t="str">
        <f t="shared" si="140"/>
        <v/>
      </c>
      <c r="AS155" s="67" t="str">
        <f t="shared" si="140"/>
        <v>X</v>
      </c>
      <c r="AT155" s="67" t="str">
        <f t="shared" si="140"/>
        <v/>
      </c>
      <c r="AU155" s="68" t="str">
        <f t="shared" si="140"/>
        <v/>
      </c>
      <c r="AV155" s="68" t="str">
        <f t="shared" si="140"/>
        <v/>
      </c>
      <c r="AW155" s="68" t="str">
        <f t="shared" si="140"/>
        <v/>
      </c>
      <c r="AX155" s="68" t="str">
        <f t="shared" si="140"/>
        <v>X</v>
      </c>
      <c r="AY155" s="68" t="str">
        <f t="shared" si="140"/>
        <v/>
      </c>
      <c r="AZ155" s="68" t="str">
        <f t="shared" si="140"/>
        <v/>
      </c>
      <c r="BA155" s="68" t="str">
        <f t="shared" si="140"/>
        <v/>
      </c>
    </row>
    <row r="156" spans="1:53" ht="21" customHeight="1">
      <c r="A156" s="28">
        <v>5</v>
      </c>
      <c r="B156" s="58">
        <v>5205239</v>
      </c>
      <c r="C156" s="27" t="s">
        <v>92</v>
      </c>
      <c r="D156" s="78" t="s">
        <v>50</v>
      </c>
      <c r="E156" s="64">
        <v>23</v>
      </c>
      <c r="F156" s="31">
        <f>VLOOKUP(B156,'Estampados por manguera'!A$2:B$500,2,FALSE)</f>
        <v>2</v>
      </c>
      <c r="G156" s="20">
        <f t="shared" si="124"/>
        <v>46</v>
      </c>
      <c r="H156" s="20">
        <v>6</v>
      </c>
      <c r="I156" s="29">
        <f t="shared" si="125"/>
        <v>276</v>
      </c>
      <c r="J156" s="32">
        <f t="shared" si="126"/>
        <v>180</v>
      </c>
      <c r="K156" s="31">
        <f t="shared" si="127"/>
        <v>456</v>
      </c>
      <c r="L156" s="11">
        <v>1203</v>
      </c>
      <c r="M156" s="31">
        <f>VLOOKUP(B156,'Mangueras por contenedor'!A$2:B$500,2,FALSE)</f>
        <v>60</v>
      </c>
      <c r="N156" s="35">
        <f t="shared" si="128"/>
        <v>0.38333333333333336</v>
      </c>
      <c r="O156" s="11">
        <f t="shared" si="129"/>
        <v>3</v>
      </c>
      <c r="P156" s="11">
        <f t="shared" si="130"/>
        <v>720</v>
      </c>
      <c r="Q156" s="11">
        <f t="shared" si="131"/>
        <v>2</v>
      </c>
      <c r="R156" s="32">
        <f t="shared" si="132"/>
        <v>1440</v>
      </c>
      <c r="S156" s="32">
        <f t="shared" si="133"/>
        <v>6</v>
      </c>
      <c r="T156" s="32">
        <f t="shared" si="134"/>
        <v>120</v>
      </c>
      <c r="U156" s="59" t="str">
        <f t="shared" ref="U156:AD165" si="141">IF(OR(U$142/$S156=1,U$142/$S156=2,U$142/$S156=3,U$142/$S156=4,U$142/$S156=5,U$142/$S156=6,U$142/$S156=7,U$142/$S156=8,U$142/$S156=9,U$142/$S156=10,U$142/$S156=11,U$142/$S156=12,U$142/$S156=13,U$142/$S156=14,U$142/$S156=15,U$142/$S156=16,U$142/$S156=17,U$142/$S156=18,U$142/$S156=19,U$142/$S156=20,U$142/$S156=21,U$142/$S156=22,U$142/$S156=23,U$142/$S156=24,U$142/$S156=25,U$142/$S156=26,U$142/$S156=27,U$142/$S156=28,U$142/$S156=29,U$142/$S156=30,U$142/$S156=31,U$142/$S156=32,U$142/$S156=33),"X","")</f>
        <v/>
      </c>
      <c r="V156" s="59" t="str">
        <f t="shared" si="141"/>
        <v/>
      </c>
      <c r="W156" s="59" t="str">
        <f t="shared" si="141"/>
        <v/>
      </c>
      <c r="X156" s="59" t="str">
        <f t="shared" si="141"/>
        <v/>
      </c>
      <c r="Y156" s="59" t="str">
        <f t="shared" si="141"/>
        <v/>
      </c>
      <c r="Z156" s="59" t="str">
        <f t="shared" si="141"/>
        <v>X</v>
      </c>
      <c r="AA156" s="59" t="str">
        <f t="shared" si="141"/>
        <v/>
      </c>
      <c r="AB156" s="59" t="str">
        <f t="shared" si="141"/>
        <v/>
      </c>
      <c r="AC156" s="59" t="str">
        <f t="shared" si="141"/>
        <v/>
      </c>
      <c r="AD156" s="59" t="str">
        <f t="shared" si="141"/>
        <v/>
      </c>
      <c r="AE156" s="59" t="s">
        <v>202</v>
      </c>
      <c r="AF156" s="59"/>
      <c r="AG156" s="59" t="str">
        <f t="shared" ref="AG156:AP165" si="142">IF(OR(AG$142/$S156=1,AG$142/$S156=2,AG$142/$S156=3,AG$142/$S156=4,AG$142/$S156=5,AG$142/$S156=6,AG$142/$S156=7,AG$142/$S156=8,AG$142/$S156=9,AG$142/$S156=10,AG$142/$S156=11,AG$142/$S156=12,AG$142/$S156=13,AG$142/$S156=14,AG$142/$S156=15,AG$142/$S156=16,AG$142/$S156=17,AG$142/$S156=18,AG$142/$S156=19,AG$142/$S156=20,AG$142/$S156=21,AG$142/$S156=22,AG$142/$S156=23,AG$142/$S156=24,AG$142/$S156=25,AG$142/$S156=26,AG$142/$S156=27,AG$142/$S156=28,AG$142/$S156=29,AG$142/$S156=30,AG$142/$S156=31,AG$142/$S156=32,AG$142/$S156=33),"X","")</f>
        <v/>
      </c>
      <c r="AH156" s="67" t="str">
        <f t="shared" si="142"/>
        <v/>
      </c>
      <c r="AI156" s="67" t="str">
        <f t="shared" si="142"/>
        <v/>
      </c>
      <c r="AJ156" s="67" t="str">
        <f t="shared" si="142"/>
        <v/>
      </c>
      <c r="AK156" s="67" t="str">
        <f t="shared" si="142"/>
        <v/>
      </c>
      <c r="AL156" s="67" t="str">
        <f t="shared" si="142"/>
        <v>X</v>
      </c>
      <c r="AM156" s="67" t="str">
        <f t="shared" si="142"/>
        <v/>
      </c>
      <c r="AN156" s="67" t="str">
        <f t="shared" si="142"/>
        <v/>
      </c>
      <c r="AO156" s="67" t="str">
        <f t="shared" si="142"/>
        <v/>
      </c>
      <c r="AP156" s="67" t="str">
        <f t="shared" si="142"/>
        <v/>
      </c>
      <c r="AQ156" s="67" t="s">
        <v>202</v>
      </c>
      <c r="AR156" s="67"/>
      <c r="AS156" s="67" t="str">
        <f t="shared" ref="AR156:BA165" si="143">IF(OR(AS$142/$S156=1,AS$142/$S156=2,AS$142/$S156=3,AS$142/$S156=4,AS$142/$S156=5,AS$142/$S156=6,AS$142/$S156=7,AS$142/$S156=8,AS$142/$S156=9,AS$142/$S156=10,AS$142/$S156=11,AS$142/$S156=12,AS$142/$S156=13,AS$142/$S156=14,AS$142/$S156=15,AS$142/$S156=16,AS$142/$S156=17,AS$142/$S156=18,AS$142/$S156=19,AS$142/$S156=20,AS$142/$S156=21,AS$142/$S156=22,AS$142/$S156=23,AS$142/$S156=24,AS$142/$S156=25,AS$142/$S156=26,AS$142/$S156=27,AS$142/$S156=28,AS$142/$S156=29,AS$142/$S156=30,AS$142/$S156=31,AS$142/$S156=32,AS$142/$S156=33),"X","")</f>
        <v/>
      </c>
      <c r="AT156" s="67" t="str">
        <f t="shared" si="143"/>
        <v/>
      </c>
      <c r="AU156" s="68" t="str">
        <f t="shared" si="143"/>
        <v/>
      </c>
      <c r="AV156" s="68" t="str">
        <f t="shared" si="143"/>
        <v/>
      </c>
      <c r="AW156" s="68" t="str">
        <f t="shared" si="143"/>
        <v/>
      </c>
      <c r="AX156" s="68" t="str">
        <f t="shared" si="143"/>
        <v>X</v>
      </c>
      <c r="AY156" s="68" t="str">
        <f t="shared" si="143"/>
        <v/>
      </c>
      <c r="AZ156" s="68" t="str">
        <f t="shared" si="143"/>
        <v/>
      </c>
      <c r="BA156" s="68" t="str">
        <f t="shared" si="143"/>
        <v/>
      </c>
    </row>
    <row r="157" spans="1:53" ht="21" customHeight="1">
      <c r="A157" s="28">
        <v>5</v>
      </c>
      <c r="B157" s="58">
        <v>5305290</v>
      </c>
      <c r="C157" s="27" t="s">
        <v>20</v>
      </c>
      <c r="D157" s="78" t="s">
        <v>50</v>
      </c>
      <c r="E157" s="64">
        <v>31</v>
      </c>
      <c r="F157" s="31">
        <f>VLOOKUP(B157,'Estampados por manguera'!A$2:B$500,2,FALSE)</f>
        <v>1</v>
      </c>
      <c r="G157" s="20">
        <f t="shared" si="124"/>
        <v>31</v>
      </c>
      <c r="H157" s="20">
        <v>6</v>
      </c>
      <c r="I157" s="29">
        <f t="shared" si="125"/>
        <v>186</v>
      </c>
      <c r="J157" s="32">
        <f t="shared" si="126"/>
        <v>180</v>
      </c>
      <c r="K157" s="31">
        <f t="shared" si="127"/>
        <v>366</v>
      </c>
      <c r="L157" s="11">
        <v>1200</v>
      </c>
      <c r="M157" s="31">
        <f>VLOOKUP(B157,'Mangueras por contenedor'!A$2:B$500,2,FALSE)</f>
        <v>220</v>
      </c>
      <c r="N157" s="35">
        <f t="shared" si="128"/>
        <v>0.1409090909090909</v>
      </c>
      <c r="O157" s="11">
        <f t="shared" si="129"/>
        <v>6</v>
      </c>
      <c r="P157" s="11">
        <f t="shared" si="130"/>
        <v>1320</v>
      </c>
      <c r="Q157" s="11">
        <f t="shared" si="131"/>
        <v>1</v>
      </c>
      <c r="R157" s="32">
        <f t="shared" si="132"/>
        <v>1320</v>
      </c>
      <c r="S157" s="32">
        <f t="shared" si="133"/>
        <v>6</v>
      </c>
      <c r="T157" s="32">
        <f t="shared" si="134"/>
        <v>220</v>
      </c>
      <c r="U157" s="59" t="str">
        <f t="shared" si="141"/>
        <v/>
      </c>
      <c r="V157" s="59" t="str">
        <f t="shared" si="141"/>
        <v/>
      </c>
      <c r="W157" s="59" t="str">
        <f t="shared" si="141"/>
        <v/>
      </c>
      <c r="X157" s="59" t="str">
        <f t="shared" si="141"/>
        <v/>
      </c>
      <c r="Y157" s="59" t="str">
        <f t="shared" si="141"/>
        <v/>
      </c>
      <c r="Z157" s="59" t="str">
        <f t="shared" si="141"/>
        <v>X</v>
      </c>
      <c r="AA157" s="59" t="str">
        <f t="shared" si="141"/>
        <v/>
      </c>
      <c r="AB157" s="59" t="str">
        <f t="shared" si="141"/>
        <v/>
      </c>
      <c r="AC157" s="59" t="str">
        <f t="shared" si="141"/>
        <v/>
      </c>
      <c r="AD157" s="59" t="str">
        <f t="shared" si="141"/>
        <v/>
      </c>
      <c r="AE157" s="59" t="s">
        <v>202</v>
      </c>
      <c r="AF157" s="59"/>
      <c r="AG157" s="59" t="str">
        <f t="shared" si="142"/>
        <v/>
      </c>
      <c r="AH157" s="67" t="str">
        <f t="shared" si="142"/>
        <v/>
      </c>
      <c r="AI157" s="67" t="str">
        <f t="shared" si="142"/>
        <v/>
      </c>
      <c r="AJ157" s="67" t="str">
        <f t="shared" si="142"/>
        <v/>
      </c>
      <c r="AK157" s="67" t="str">
        <f t="shared" si="142"/>
        <v/>
      </c>
      <c r="AL157" s="67" t="str">
        <f t="shared" si="142"/>
        <v>X</v>
      </c>
      <c r="AM157" s="67" t="str">
        <f t="shared" si="142"/>
        <v/>
      </c>
      <c r="AN157" s="67" t="str">
        <f t="shared" si="142"/>
        <v/>
      </c>
      <c r="AO157" s="67" t="str">
        <f t="shared" si="142"/>
        <v/>
      </c>
      <c r="AP157" s="67" t="str">
        <f t="shared" si="142"/>
        <v/>
      </c>
      <c r="AQ157" s="67" t="s">
        <v>202</v>
      </c>
      <c r="AR157" s="67"/>
      <c r="AS157" s="67" t="str">
        <f t="shared" si="143"/>
        <v/>
      </c>
      <c r="AT157" s="67" t="str">
        <f t="shared" si="143"/>
        <v/>
      </c>
      <c r="AU157" s="68" t="str">
        <f t="shared" si="143"/>
        <v/>
      </c>
      <c r="AV157" s="68" t="str">
        <f t="shared" si="143"/>
        <v/>
      </c>
      <c r="AW157" s="68" t="str">
        <f t="shared" si="143"/>
        <v/>
      </c>
      <c r="AX157" s="68" t="str">
        <f t="shared" si="143"/>
        <v>X</v>
      </c>
      <c r="AY157" s="68" t="str">
        <f t="shared" si="143"/>
        <v/>
      </c>
      <c r="AZ157" s="68" t="str">
        <f t="shared" si="143"/>
        <v/>
      </c>
      <c r="BA157" s="68" t="str">
        <f t="shared" si="143"/>
        <v/>
      </c>
    </row>
    <row r="158" spans="1:53" ht="21" customHeight="1">
      <c r="A158" s="28">
        <v>5</v>
      </c>
      <c r="B158" s="58">
        <v>5305417</v>
      </c>
      <c r="C158" s="27" t="s">
        <v>87</v>
      </c>
      <c r="D158" s="78" t="s">
        <v>50</v>
      </c>
      <c r="E158" s="64">
        <v>16</v>
      </c>
      <c r="F158" s="31">
        <f>VLOOKUP(B158,'Estampados por manguera'!A$2:B$500,2,FALSE)</f>
        <v>1</v>
      </c>
      <c r="G158" s="20">
        <f t="shared" si="124"/>
        <v>16</v>
      </c>
      <c r="H158" s="20">
        <v>6</v>
      </c>
      <c r="I158" s="29">
        <f t="shared" si="125"/>
        <v>96</v>
      </c>
      <c r="J158" s="32">
        <f t="shared" si="126"/>
        <v>180</v>
      </c>
      <c r="K158" s="31">
        <f t="shared" si="127"/>
        <v>276</v>
      </c>
      <c r="L158" s="11">
        <v>1200</v>
      </c>
      <c r="M158" s="31">
        <f>VLOOKUP(B158,'Mangueras por contenedor'!A$2:B$500,2,FALSE)</f>
        <v>30</v>
      </c>
      <c r="N158" s="35">
        <f t="shared" si="128"/>
        <v>0.53333333333333333</v>
      </c>
      <c r="O158" s="11">
        <f t="shared" si="129"/>
        <v>2</v>
      </c>
      <c r="P158" s="11">
        <f t="shared" si="130"/>
        <v>180</v>
      </c>
      <c r="Q158" s="11">
        <f t="shared" si="131"/>
        <v>4</v>
      </c>
      <c r="R158" s="32">
        <f t="shared" si="132"/>
        <v>720</v>
      </c>
      <c r="S158" s="32">
        <f t="shared" si="133"/>
        <v>8</v>
      </c>
      <c r="T158" s="32">
        <f t="shared" si="134"/>
        <v>120</v>
      </c>
      <c r="U158" s="59" t="str">
        <f t="shared" si="141"/>
        <v/>
      </c>
      <c r="V158" s="59" t="str">
        <f t="shared" si="141"/>
        <v/>
      </c>
      <c r="W158" s="59" t="str">
        <f t="shared" si="141"/>
        <v/>
      </c>
      <c r="X158" s="59" t="str">
        <f t="shared" si="141"/>
        <v/>
      </c>
      <c r="Y158" s="59" t="str">
        <f t="shared" si="141"/>
        <v/>
      </c>
      <c r="Z158" s="59" t="str">
        <f t="shared" si="141"/>
        <v/>
      </c>
      <c r="AA158" s="59" t="str">
        <f t="shared" si="141"/>
        <v/>
      </c>
      <c r="AB158" s="59" t="str">
        <f t="shared" si="141"/>
        <v>X</v>
      </c>
      <c r="AC158" s="59" t="str">
        <f t="shared" si="141"/>
        <v/>
      </c>
      <c r="AD158" s="59" t="str">
        <f t="shared" si="141"/>
        <v/>
      </c>
      <c r="AE158" s="59" t="str">
        <f t="shared" ref="AE158:AF172" si="144">IF(OR(AE$142/$S158=1,AE$142/$S158=2,AE$142/$S158=3,AE$142/$S158=4,AE$142/$S158=5,AE$142/$S158=6,AE$142/$S158=7,AE$142/$S158=8,AE$142/$S158=9,AE$142/$S158=10,AE$142/$S158=11,AE$142/$S158=12,AE$142/$S158=13,AE$142/$S158=14,AE$142/$S158=15,AE$142/$S158=16,AE$142/$S158=17,AE$142/$S158=18,AE$142/$S158=19,AE$142/$S158=20,AE$142/$S158=21,AE$142/$S158=22,AE$142/$S158=23,AE$142/$S158=24,AE$142/$S158=25,AE$142/$S158=26,AE$142/$S158=27,AE$142/$S158=28,AE$142/$S158=29,AE$142/$S158=30,AE$142/$S158=31,AE$142/$S158=32,AE$142/$S158=33),"X","")</f>
        <v/>
      </c>
      <c r="AF158" s="59" t="str">
        <f t="shared" si="144"/>
        <v/>
      </c>
      <c r="AG158" s="59" t="str">
        <f t="shared" si="142"/>
        <v/>
      </c>
      <c r="AH158" s="67" t="str">
        <f t="shared" si="142"/>
        <v/>
      </c>
      <c r="AI158" s="67" t="str">
        <f t="shared" si="142"/>
        <v/>
      </c>
      <c r="AJ158" s="67" t="str">
        <f t="shared" si="142"/>
        <v>X</v>
      </c>
      <c r="AK158" s="67" t="str">
        <f t="shared" si="142"/>
        <v/>
      </c>
      <c r="AL158" s="67" t="str">
        <f t="shared" si="142"/>
        <v/>
      </c>
      <c r="AM158" s="67" t="str">
        <f t="shared" si="142"/>
        <v/>
      </c>
      <c r="AN158" s="67" t="str">
        <f t="shared" si="142"/>
        <v/>
      </c>
      <c r="AO158" s="67" t="str">
        <f t="shared" si="142"/>
        <v/>
      </c>
      <c r="AP158" s="67" t="str">
        <f t="shared" si="142"/>
        <v/>
      </c>
      <c r="AQ158" s="67" t="s">
        <v>202</v>
      </c>
      <c r="AR158" s="67"/>
      <c r="AS158" s="67" t="str">
        <f t="shared" si="143"/>
        <v/>
      </c>
      <c r="AT158" s="67" t="str">
        <f t="shared" si="143"/>
        <v/>
      </c>
      <c r="AU158" s="68" t="str">
        <f t="shared" si="143"/>
        <v/>
      </c>
      <c r="AV158" s="68" t="str">
        <f t="shared" si="143"/>
        <v/>
      </c>
      <c r="AW158" s="68" t="str">
        <f t="shared" si="143"/>
        <v/>
      </c>
      <c r="AX158" s="68" t="str">
        <f t="shared" si="143"/>
        <v/>
      </c>
      <c r="AY158" s="68" t="str">
        <f t="shared" si="143"/>
        <v/>
      </c>
      <c r="AZ158" s="68" t="str">
        <f t="shared" si="143"/>
        <v>X</v>
      </c>
      <c r="BA158" s="68" t="str">
        <f t="shared" si="143"/>
        <v/>
      </c>
    </row>
    <row r="159" spans="1:53" ht="21" customHeight="1">
      <c r="A159" s="28">
        <v>5</v>
      </c>
      <c r="B159" s="58">
        <v>5205366</v>
      </c>
      <c r="C159" s="27" t="s">
        <v>195</v>
      </c>
      <c r="D159" s="78" t="s">
        <v>50</v>
      </c>
      <c r="E159" s="64">
        <v>12</v>
      </c>
      <c r="F159" s="31">
        <f>VLOOKUP(B159,'Estampados por manguera'!A$2:B$500,2,FALSE)</f>
        <v>2</v>
      </c>
      <c r="G159" s="20">
        <f t="shared" si="124"/>
        <v>24</v>
      </c>
      <c r="H159" s="20">
        <v>6</v>
      </c>
      <c r="I159" s="29">
        <f t="shared" si="125"/>
        <v>144</v>
      </c>
      <c r="J159" s="32">
        <f t="shared" si="126"/>
        <v>180</v>
      </c>
      <c r="K159" s="31">
        <f t="shared" si="127"/>
        <v>324</v>
      </c>
      <c r="L159" s="11">
        <v>1200</v>
      </c>
      <c r="M159" s="31">
        <f>VLOOKUP(B159,'Mangueras por contenedor'!A$2:B$500,2,FALSE)</f>
        <v>50</v>
      </c>
      <c r="N159" s="35">
        <f t="shared" si="128"/>
        <v>0.24</v>
      </c>
      <c r="O159" s="11">
        <f t="shared" si="129"/>
        <v>4</v>
      </c>
      <c r="P159" s="11">
        <f t="shared" si="130"/>
        <v>600</v>
      </c>
      <c r="Q159" s="11">
        <f t="shared" si="131"/>
        <v>2</v>
      </c>
      <c r="R159" s="32">
        <f t="shared" si="132"/>
        <v>1200</v>
      </c>
      <c r="S159" s="32">
        <f t="shared" si="133"/>
        <v>8</v>
      </c>
      <c r="T159" s="32">
        <f t="shared" si="134"/>
        <v>100</v>
      </c>
      <c r="U159" s="59" t="str">
        <f t="shared" si="141"/>
        <v/>
      </c>
      <c r="V159" s="59" t="str">
        <f t="shared" si="141"/>
        <v/>
      </c>
      <c r="W159" s="59" t="str">
        <f t="shared" si="141"/>
        <v/>
      </c>
      <c r="X159" s="59" t="str">
        <f t="shared" si="141"/>
        <v/>
      </c>
      <c r="Y159" s="59" t="str">
        <f t="shared" si="141"/>
        <v/>
      </c>
      <c r="Z159" s="59" t="str">
        <f t="shared" si="141"/>
        <v/>
      </c>
      <c r="AA159" s="59" t="str">
        <f t="shared" si="141"/>
        <v/>
      </c>
      <c r="AB159" s="59" t="str">
        <f t="shared" si="141"/>
        <v>X</v>
      </c>
      <c r="AC159" s="59" t="str">
        <f t="shared" si="141"/>
        <v/>
      </c>
      <c r="AD159" s="59" t="str">
        <f t="shared" si="141"/>
        <v/>
      </c>
      <c r="AE159" s="59" t="str">
        <f t="shared" si="144"/>
        <v/>
      </c>
      <c r="AF159" s="59" t="str">
        <f t="shared" si="144"/>
        <v/>
      </c>
      <c r="AG159" s="59" t="str">
        <f t="shared" si="142"/>
        <v/>
      </c>
      <c r="AH159" s="67" t="str">
        <f t="shared" si="142"/>
        <v/>
      </c>
      <c r="AI159" s="67" t="str">
        <f t="shared" si="142"/>
        <v/>
      </c>
      <c r="AJ159" s="67" t="str">
        <f t="shared" si="142"/>
        <v>X</v>
      </c>
      <c r="AK159" s="67" t="str">
        <f t="shared" si="142"/>
        <v/>
      </c>
      <c r="AL159" s="67" t="str">
        <f t="shared" si="142"/>
        <v/>
      </c>
      <c r="AM159" s="67" t="str">
        <f t="shared" si="142"/>
        <v/>
      </c>
      <c r="AN159" s="67" t="str">
        <f t="shared" si="142"/>
        <v/>
      </c>
      <c r="AO159" s="67" t="str">
        <f t="shared" si="142"/>
        <v/>
      </c>
      <c r="AP159" s="67" t="str">
        <f t="shared" si="142"/>
        <v/>
      </c>
      <c r="AQ159" s="67" t="s">
        <v>202</v>
      </c>
      <c r="AR159" s="67"/>
      <c r="AS159" s="67" t="str">
        <f t="shared" si="143"/>
        <v/>
      </c>
      <c r="AT159" s="67" t="str">
        <f t="shared" si="143"/>
        <v/>
      </c>
      <c r="AU159" s="68" t="str">
        <f t="shared" si="143"/>
        <v/>
      </c>
      <c r="AV159" s="68" t="str">
        <f t="shared" si="143"/>
        <v/>
      </c>
      <c r="AW159" s="68" t="str">
        <f t="shared" si="143"/>
        <v/>
      </c>
      <c r="AX159" s="68" t="str">
        <f t="shared" si="143"/>
        <v/>
      </c>
      <c r="AY159" s="68" t="str">
        <f t="shared" si="143"/>
        <v/>
      </c>
      <c r="AZ159" s="68" t="str">
        <f t="shared" si="143"/>
        <v>X</v>
      </c>
      <c r="BA159" s="68" t="str">
        <f t="shared" si="143"/>
        <v/>
      </c>
    </row>
    <row r="160" spans="1:53" ht="21" customHeight="1">
      <c r="A160" s="28">
        <v>5</v>
      </c>
      <c r="B160" s="58">
        <v>5205270</v>
      </c>
      <c r="C160" s="27" t="s">
        <v>23</v>
      </c>
      <c r="D160" s="78" t="s">
        <v>50</v>
      </c>
      <c r="E160" s="64">
        <v>31</v>
      </c>
      <c r="F160" s="31">
        <f>VLOOKUP(B160,'Estampados por manguera'!A$2:B$500,2,FALSE)</f>
        <v>2</v>
      </c>
      <c r="G160" s="20">
        <f t="shared" si="124"/>
        <v>62</v>
      </c>
      <c r="H160" s="20">
        <v>6</v>
      </c>
      <c r="I160" s="29">
        <f t="shared" si="125"/>
        <v>372</v>
      </c>
      <c r="J160" s="32">
        <f t="shared" si="126"/>
        <v>180</v>
      </c>
      <c r="K160" s="31">
        <f t="shared" si="127"/>
        <v>552</v>
      </c>
      <c r="L160" s="11">
        <v>1207</v>
      </c>
      <c r="M160" s="31">
        <f>VLOOKUP(B160,'Mangueras por contenedor'!A$2:B$500,2,FALSE)</f>
        <v>300</v>
      </c>
      <c r="N160" s="35">
        <f t="shared" si="128"/>
        <v>0.10333333333333333</v>
      </c>
      <c r="O160" s="11">
        <f t="shared" si="129"/>
        <v>8</v>
      </c>
      <c r="P160" s="11">
        <f t="shared" si="130"/>
        <v>3600</v>
      </c>
      <c r="Q160" s="11">
        <f t="shared" si="131"/>
        <v>1</v>
      </c>
      <c r="R160" s="32">
        <f t="shared" si="132"/>
        <v>3600</v>
      </c>
      <c r="S160" s="32">
        <f t="shared" si="133"/>
        <v>8</v>
      </c>
      <c r="T160" s="32">
        <f t="shared" si="134"/>
        <v>300</v>
      </c>
      <c r="U160" s="59" t="str">
        <f t="shared" si="141"/>
        <v/>
      </c>
      <c r="V160" s="59" t="str">
        <f t="shared" si="141"/>
        <v/>
      </c>
      <c r="W160" s="59" t="str">
        <f t="shared" si="141"/>
        <v/>
      </c>
      <c r="X160" s="59" t="str">
        <f t="shared" si="141"/>
        <v/>
      </c>
      <c r="Y160" s="59" t="str">
        <f t="shared" si="141"/>
        <v/>
      </c>
      <c r="Z160" s="59" t="str">
        <f t="shared" si="141"/>
        <v/>
      </c>
      <c r="AA160" s="59" t="str">
        <f t="shared" si="141"/>
        <v/>
      </c>
      <c r="AB160" s="59" t="str">
        <f t="shared" si="141"/>
        <v>X</v>
      </c>
      <c r="AC160" s="59" t="str">
        <f t="shared" si="141"/>
        <v/>
      </c>
      <c r="AD160" s="59" t="str">
        <f t="shared" si="141"/>
        <v/>
      </c>
      <c r="AE160" s="59" t="str">
        <f t="shared" si="144"/>
        <v/>
      </c>
      <c r="AF160" s="59" t="str">
        <f t="shared" si="144"/>
        <v/>
      </c>
      <c r="AG160" s="59" t="str">
        <f t="shared" si="142"/>
        <v/>
      </c>
      <c r="AH160" s="67" t="str">
        <f t="shared" si="142"/>
        <v/>
      </c>
      <c r="AI160" s="67" t="str">
        <f t="shared" si="142"/>
        <v/>
      </c>
      <c r="AJ160" s="67" t="str">
        <f t="shared" si="142"/>
        <v>X</v>
      </c>
      <c r="AK160" s="67" t="str">
        <f t="shared" si="142"/>
        <v/>
      </c>
      <c r="AL160" s="67" t="str">
        <f t="shared" si="142"/>
        <v/>
      </c>
      <c r="AM160" s="67" t="str">
        <f t="shared" si="142"/>
        <v/>
      </c>
      <c r="AN160" s="67" t="str">
        <f t="shared" si="142"/>
        <v/>
      </c>
      <c r="AO160" s="67" t="str">
        <f t="shared" si="142"/>
        <v/>
      </c>
      <c r="AP160" s="67" t="str">
        <f t="shared" si="142"/>
        <v/>
      </c>
      <c r="AQ160" s="67" t="str">
        <f t="shared" ref="AQ160:AQ172" si="145">IF(OR(AQ$142/$S160=1,AQ$142/$S160=2,AQ$142/$S160=3,AQ$142/$S160=4,AQ$142/$S160=5,AQ$142/$S160=6,AQ$142/$S160=7,AQ$142/$S160=8,AQ$142/$S160=9,AQ$142/$S160=10,AQ$142/$S160=11,AQ$142/$S160=12,AQ$142/$S160=13,AQ$142/$S160=14,AQ$142/$S160=15,AQ$142/$S160=16,AQ$142/$S160=17,AQ$142/$S160=18,AQ$142/$S160=19,AQ$142/$S160=20,AQ$142/$S160=21,AQ$142/$S160=22,AQ$142/$S160=23,AQ$142/$S160=24,AQ$142/$S160=25,AQ$142/$S160=26,AQ$142/$S160=27,AQ$142/$S160=28,AQ$142/$S160=29,AQ$142/$S160=30,AQ$142/$S160=31,AQ$142/$S160=32,AQ$142/$S160=33),"X","")</f>
        <v/>
      </c>
      <c r="AR160" s="67" t="str">
        <f t="shared" si="143"/>
        <v>X</v>
      </c>
      <c r="AS160" s="67" t="str">
        <f t="shared" si="143"/>
        <v/>
      </c>
      <c r="AT160" s="67" t="str">
        <f t="shared" si="143"/>
        <v/>
      </c>
      <c r="AU160" s="68" t="str">
        <f t="shared" si="143"/>
        <v/>
      </c>
      <c r="AV160" s="68" t="str">
        <f t="shared" si="143"/>
        <v/>
      </c>
      <c r="AW160" s="68" t="str">
        <f t="shared" si="143"/>
        <v/>
      </c>
      <c r="AX160" s="68" t="str">
        <f t="shared" si="143"/>
        <v/>
      </c>
      <c r="AY160" s="68" t="str">
        <f t="shared" si="143"/>
        <v/>
      </c>
      <c r="AZ160" s="68" t="str">
        <f t="shared" si="143"/>
        <v>X</v>
      </c>
      <c r="BA160" s="68" t="str">
        <f t="shared" si="143"/>
        <v/>
      </c>
    </row>
    <row r="161" spans="1:53">
      <c r="A161" s="28">
        <v>5</v>
      </c>
      <c r="B161" s="58">
        <v>5205212</v>
      </c>
      <c r="C161" s="27" t="s">
        <v>97</v>
      </c>
      <c r="D161" s="78" t="s">
        <v>50</v>
      </c>
      <c r="E161" s="64">
        <v>16</v>
      </c>
      <c r="F161" s="31">
        <f>VLOOKUP(B161,'Estampados por manguera'!A$2:B$500,2,FALSE)</f>
        <v>2</v>
      </c>
      <c r="G161" s="20">
        <f t="shared" si="124"/>
        <v>32</v>
      </c>
      <c r="H161" s="20">
        <v>6</v>
      </c>
      <c r="I161" s="29">
        <f t="shared" si="125"/>
        <v>192</v>
      </c>
      <c r="J161" s="32">
        <f t="shared" si="126"/>
        <v>180</v>
      </c>
      <c r="K161" s="31">
        <f t="shared" si="127"/>
        <v>372</v>
      </c>
      <c r="L161" s="11">
        <v>1200</v>
      </c>
      <c r="M161" s="31">
        <f>VLOOKUP(B161,'Mangueras por contenedor'!A$2:B$500,2,FALSE)</f>
        <v>45</v>
      </c>
      <c r="N161" s="35">
        <f t="shared" si="128"/>
        <v>0.35555555555555557</v>
      </c>
      <c r="O161" s="11">
        <f t="shared" si="129"/>
        <v>3</v>
      </c>
      <c r="P161" s="11">
        <f t="shared" si="130"/>
        <v>540</v>
      </c>
      <c r="Q161" s="11">
        <f t="shared" si="131"/>
        <v>3</v>
      </c>
      <c r="R161" s="32">
        <f t="shared" si="132"/>
        <v>1620</v>
      </c>
      <c r="S161" s="32">
        <f t="shared" si="133"/>
        <v>9</v>
      </c>
      <c r="T161" s="32">
        <f t="shared" si="134"/>
        <v>135</v>
      </c>
      <c r="U161" s="59" t="str">
        <f t="shared" si="141"/>
        <v/>
      </c>
      <c r="V161" s="59" t="str">
        <f t="shared" si="141"/>
        <v/>
      </c>
      <c r="W161" s="59" t="str">
        <f t="shared" si="141"/>
        <v/>
      </c>
      <c r="X161" s="59" t="str">
        <f t="shared" si="141"/>
        <v/>
      </c>
      <c r="Y161" s="59" t="str">
        <f t="shared" si="141"/>
        <v/>
      </c>
      <c r="Z161" s="59" t="str">
        <f t="shared" si="141"/>
        <v/>
      </c>
      <c r="AA161" s="59" t="str">
        <f t="shared" si="141"/>
        <v/>
      </c>
      <c r="AB161" s="59" t="str">
        <f t="shared" si="141"/>
        <v/>
      </c>
      <c r="AC161" s="59" t="str">
        <f t="shared" si="141"/>
        <v>X</v>
      </c>
      <c r="AD161" s="59" t="str">
        <f t="shared" si="141"/>
        <v/>
      </c>
      <c r="AE161" s="59" t="str">
        <f t="shared" si="144"/>
        <v/>
      </c>
      <c r="AF161" s="59" t="str">
        <f t="shared" si="144"/>
        <v/>
      </c>
      <c r="AG161" s="59" t="str">
        <f t="shared" si="142"/>
        <v/>
      </c>
      <c r="AH161" s="67" t="str">
        <f t="shared" si="142"/>
        <v/>
      </c>
      <c r="AI161" s="67" t="str">
        <f t="shared" si="142"/>
        <v/>
      </c>
      <c r="AJ161" s="67" t="str">
        <f t="shared" si="142"/>
        <v/>
      </c>
      <c r="AK161" s="67" t="str">
        <f t="shared" si="142"/>
        <v/>
      </c>
      <c r="AL161" s="67" t="str">
        <f t="shared" si="142"/>
        <v>X</v>
      </c>
      <c r="AM161" s="67" t="str">
        <f t="shared" si="142"/>
        <v/>
      </c>
      <c r="AN161" s="67" t="str">
        <f t="shared" si="142"/>
        <v/>
      </c>
      <c r="AO161" s="67" t="str">
        <f t="shared" si="142"/>
        <v/>
      </c>
      <c r="AP161" s="67" t="str">
        <f t="shared" si="142"/>
        <v/>
      </c>
      <c r="AQ161" s="67" t="str">
        <f t="shared" si="145"/>
        <v/>
      </c>
      <c r="AR161" s="67" t="str">
        <f t="shared" si="143"/>
        <v/>
      </c>
      <c r="AS161" s="67" t="str">
        <f t="shared" si="143"/>
        <v/>
      </c>
      <c r="AT161" s="67" t="str">
        <f t="shared" si="143"/>
        <v/>
      </c>
      <c r="AU161" s="68" t="str">
        <f t="shared" si="143"/>
        <v>X</v>
      </c>
      <c r="AV161" s="68" t="str">
        <f t="shared" si="143"/>
        <v/>
      </c>
      <c r="AW161" s="68" t="str">
        <f t="shared" si="143"/>
        <v/>
      </c>
      <c r="AX161" s="68" t="str">
        <f t="shared" si="143"/>
        <v/>
      </c>
      <c r="AY161" s="68" t="str">
        <f t="shared" si="143"/>
        <v/>
      </c>
      <c r="AZ161" s="68" t="str">
        <f t="shared" si="143"/>
        <v/>
      </c>
      <c r="BA161" s="68" t="str">
        <f t="shared" si="143"/>
        <v/>
      </c>
    </row>
    <row r="162" spans="1:53">
      <c r="A162" s="28">
        <v>5</v>
      </c>
      <c r="B162" s="58">
        <v>5305219</v>
      </c>
      <c r="C162" s="27" t="s">
        <v>21</v>
      </c>
      <c r="D162" s="78" t="s">
        <v>50</v>
      </c>
      <c r="E162" s="64">
        <v>14</v>
      </c>
      <c r="F162" s="31">
        <f>VLOOKUP(B162,'Estampados por manguera'!A$2:B$500,2,FALSE)</f>
        <v>1</v>
      </c>
      <c r="G162" s="20">
        <f t="shared" si="124"/>
        <v>14</v>
      </c>
      <c r="H162" s="20">
        <v>6</v>
      </c>
      <c r="I162" s="29">
        <f t="shared" si="125"/>
        <v>84</v>
      </c>
      <c r="J162" s="32">
        <f t="shared" si="126"/>
        <v>180</v>
      </c>
      <c r="K162" s="31">
        <f t="shared" si="127"/>
        <v>264</v>
      </c>
      <c r="L162" s="11">
        <v>1200</v>
      </c>
      <c r="M162" s="31">
        <f>VLOOKUP(B162,'Mangueras por contenedor'!A$2:B$500,2,FALSE)</f>
        <v>90</v>
      </c>
      <c r="N162" s="35">
        <f t="shared" si="128"/>
        <v>0.15555555555555556</v>
      </c>
      <c r="O162" s="11">
        <f t="shared" si="129"/>
        <v>6</v>
      </c>
      <c r="P162" s="11">
        <f t="shared" si="130"/>
        <v>540</v>
      </c>
      <c r="Q162" s="11">
        <f t="shared" si="131"/>
        <v>2</v>
      </c>
      <c r="R162" s="32">
        <f t="shared" si="132"/>
        <v>1080</v>
      </c>
      <c r="S162" s="32">
        <f t="shared" si="133"/>
        <v>12</v>
      </c>
      <c r="T162" s="32">
        <f t="shared" si="134"/>
        <v>180</v>
      </c>
      <c r="U162" s="59" t="str">
        <f t="shared" si="141"/>
        <v/>
      </c>
      <c r="V162" s="59" t="str">
        <f t="shared" si="141"/>
        <v/>
      </c>
      <c r="W162" s="59" t="str">
        <f t="shared" si="141"/>
        <v/>
      </c>
      <c r="X162" s="59" t="str">
        <f t="shared" si="141"/>
        <v/>
      </c>
      <c r="Y162" s="59" t="str">
        <f t="shared" si="141"/>
        <v/>
      </c>
      <c r="Z162" s="59" t="str">
        <f t="shared" si="141"/>
        <v/>
      </c>
      <c r="AA162" s="59" t="str">
        <f t="shared" si="141"/>
        <v/>
      </c>
      <c r="AB162" s="59" t="str">
        <f t="shared" si="141"/>
        <v/>
      </c>
      <c r="AC162" s="59" t="str">
        <f t="shared" si="141"/>
        <v/>
      </c>
      <c r="AD162" s="59" t="str">
        <f t="shared" si="141"/>
        <v/>
      </c>
      <c r="AE162" s="59" t="str">
        <f t="shared" si="144"/>
        <v/>
      </c>
      <c r="AF162" s="59" t="str">
        <f t="shared" si="144"/>
        <v>X</v>
      </c>
      <c r="AG162" s="59" t="str">
        <f t="shared" si="142"/>
        <v/>
      </c>
      <c r="AH162" s="67" t="str">
        <f t="shared" si="142"/>
        <v/>
      </c>
      <c r="AI162" s="67" t="str">
        <f t="shared" si="142"/>
        <v/>
      </c>
      <c r="AJ162" s="67" t="str">
        <f t="shared" si="142"/>
        <v/>
      </c>
      <c r="AK162" s="67" t="str">
        <f t="shared" si="142"/>
        <v/>
      </c>
      <c r="AL162" s="67" t="str">
        <f t="shared" si="142"/>
        <v/>
      </c>
      <c r="AM162" s="67" t="str">
        <f t="shared" si="142"/>
        <v/>
      </c>
      <c r="AN162" s="67" t="str">
        <f t="shared" si="142"/>
        <v/>
      </c>
      <c r="AO162" s="67" t="str">
        <f t="shared" si="142"/>
        <v/>
      </c>
      <c r="AP162" s="67" t="str">
        <f t="shared" si="142"/>
        <v/>
      </c>
      <c r="AQ162" s="67" t="str">
        <f t="shared" si="145"/>
        <v/>
      </c>
      <c r="AR162" s="67" t="str">
        <f t="shared" si="143"/>
        <v>X</v>
      </c>
      <c r="AS162" s="67" t="str">
        <f t="shared" si="143"/>
        <v/>
      </c>
      <c r="AT162" s="67" t="str">
        <f t="shared" si="143"/>
        <v/>
      </c>
      <c r="AU162" s="68" t="str">
        <f t="shared" si="143"/>
        <v/>
      </c>
      <c r="AV162" s="68" t="str">
        <f t="shared" si="143"/>
        <v/>
      </c>
      <c r="AW162" s="68" t="str">
        <f t="shared" si="143"/>
        <v/>
      </c>
      <c r="AX162" s="68" t="str">
        <f t="shared" si="143"/>
        <v/>
      </c>
      <c r="AY162" s="68" t="str">
        <f t="shared" si="143"/>
        <v/>
      </c>
      <c r="AZ162" s="68" t="str">
        <f t="shared" si="143"/>
        <v/>
      </c>
      <c r="BA162" s="68" t="str">
        <f t="shared" si="143"/>
        <v/>
      </c>
    </row>
    <row r="163" spans="1:53">
      <c r="A163" s="28">
        <v>5</v>
      </c>
      <c r="B163" s="58">
        <v>5305218</v>
      </c>
      <c r="C163" s="27" t="s">
        <v>21</v>
      </c>
      <c r="D163" s="78" t="s">
        <v>50</v>
      </c>
      <c r="E163" s="64">
        <v>10</v>
      </c>
      <c r="F163" s="31">
        <f>VLOOKUP(B163,'Estampados por manguera'!A$2:B$500,2,FALSE)</f>
        <v>1</v>
      </c>
      <c r="G163" s="20">
        <f t="shared" si="124"/>
        <v>10</v>
      </c>
      <c r="H163" s="20">
        <v>6</v>
      </c>
      <c r="I163" s="29">
        <f t="shared" si="125"/>
        <v>60</v>
      </c>
      <c r="J163" s="32">
        <f t="shared" si="126"/>
        <v>180</v>
      </c>
      <c r="K163" s="31">
        <f t="shared" si="127"/>
        <v>240</v>
      </c>
      <c r="L163" s="11">
        <v>1200</v>
      </c>
      <c r="M163" s="31">
        <f>VLOOKUP(B163,'Mangueras por contenedor'!A$2:B$500,2,FALSE)</f>
        <v>80</v>
      </c>
      <c r="N163" s="35">
        <f t="shared" si="128"/>
        <v>0.125</v>
      </c>
      <c r="O163" s="11">
        <f t="shared" si="129"/>
        <v>7</v>
      </c>
      <c r="P163" s="11">
        <f t="shared" si="130"/>
        <v>480</v>
      </c>
      <c r="Q163" s="11">
        <f t="shared" si="131"/>
        <v>2</v>
      </c>
      <c r="R163" s="32">
        <f t="shared" si="132"/>
        <v>960</v>
      </c>
      <c r="S163" s="32">
        <f t="shared" si="133"/>
        <v>14</v>
      </c>
      <c r="T163" s="32">
        <f t="shared" si="134"/>
        <v>160</v>
      </c>
      <c r="U163" s="59" t="str">
        <f t="shared" si="141"/>
        <v/>
      </c>
      <c r="V163" s="59" t="str">
        <f t="shared" si="141"/>
        <v/>
      </c>
      <c r="W163" s="59" t="str">
        <f t="shared" si="141"/>
        <v/>
      </c>
      <c r="X163" s="59" t="str">
        <f t="shared" si="141"/>
        <v/>
      </c>
      <c r="Y163" s="59" t="str">
        <f t="shared" si="141"/>
        <v/>
      </c>
      <c r="Z163" s="59" t="str">
        <f t="shared" si="141"/>
        <v/>
      </c>
      <c r="AA163" s="59" t="str">
        <f t="shared" si="141"/>
        <v/>
      </c>
      <c r="AB163" s="59" t="str">
        <f t="shared" si="141"/>
        <v/>
      </c>
      <c r="AC163" s="59" t="str">
        <f t="shared" si="141"/>
        <v/>
      </c>
      <c r="AD163" s="59" t="str">
        <f t="shared" si="141"/>
        <v/>
      </c>
      <c r="AE163" s="59" t="str">
        <f t="shared" si="144"/>
        <v/>
      </c>
      <c r="AF163" s="59" t="str">
        <f t="shared" si="144"/>
        <v/>
      </c>
      <c r="AG163" s="59" t="str">
        <f t="shared" si="142"/>
        <v/>
      </c>
      <c r="AH163" s="67" t="str">
        <f t="shared" si="142"/>
        <v>X</v>
      </c>
      <c r="AI163" s="67" t="str">
        <f t="shared" si="142"/>
        <v/>
      </c>
      <c r="AJ163" s="67" t="str">
        <f t="shared" si="142"/>
        <v/>
      </c>
      <c r="AK163" s="67" t="str">
        <f t="shared" si="142"/>
        <v/>
      </c>
      <c r="AL163" s="67" t="str">
        <f t="shared" si="142"/>
        <v/>
      </c>
      <c r="AM163" s="67" t="str">
        <f t="shared" si="142"/>
        <v/>
      </c>
      <c r="AN163" s="67" t="str">
        <f t="shared" si="142"/>
        <v/>
      </c>
      <c r="AO163" s="67" t="str">
        <f t="shared" si="142"/>
        <v/>
      </c>
      <c r="AP163" s="67" t="str">
        <f t="shared" si="142"/>
        <v/>
      </c>
      <c r="AQ163" s="67" t="str">
        <f t="shared" si="145"/>
        <v/>
      </c>
      <c r="AR163" s="67" t="str">
        <f t="shared" si="143"/>
        <v/>
      </c>
      <c r="AS163" s="67" t="str">
        <f t="shared" si="143"/>
        <v/>
      </c>
      <c r="AT163" s="67" t="str">
        <f t="shared" si="143"/>
        <v/>
      </c>
      <c r="AU163" s="68" t="str">
        <f t="shared" si="143"/>
        <v/>
      </c>
      <c r="AV163" s="68" t="str">
        <f t="shared" si="143"/>
        <v>X</v>
      </c>
      <c r="AW163" s="68" t="str">
        <f t="shared" si="143"/>
        <v/>
      </c>
      <c r="AX163" s="68" t="str">
        <f t="shared" si="143"/>
        <v/>
      </c>
      <c r="AY163" s="68" t="str">
        <f t="shared" si="143"/>
        <v/>
      </c>
      <c r="AZ163" s="68" t="str">
        <f t="shared" si="143"/>
        <v/>
      </c>
      <c r="BA163" s="68" t="str">
        <f t="shared" si="143"/>
        <v/>
      </c>
    </row>
    <row r="164" spans="1:53">
      <c r="A164" s="28">
        <v>5</v>
      </c>
      <c r="B164" s="58">
        <v>5205296</v>
      </c>
      <c r="C164" s="27" t="s">
        <v>80</v>
      </c>
      <c r="D164" s="78" t="s">
        <v>50</v>
      </c>
      <c r="E164" s="64">
        <v>21</v>
      </c>
      <c r="F164" s="31">
        <f>VLOOKUP(B164,'Estampados por manguera'!A$2:B$500,2,FALSE)</f>
        <v>1</v>
      </c>
      <c r="G164" s="20">
        <f t="shared" si="124"/>
        <v>21</v>
      </c>
      <c r="H164" s="20">
        <v>6</v>
      </c>
      <c r="I164" s="29">
        <f t="shared" si="125"/>
        <v>126</v>
      </c>
      <c r="J164" s="32">
        <f t="shared" si="126"/>
        <v>180</v>
      </c>
      <c r="K164" s="31">
        <f t="shared" si="127"/>
        <v>306</v>
      </c>
      <c r="L164" s="11">
        <v>1200</v>
      </c>
      <c r="M164" s="31">
        <f>VLOOKUP(B164,'Mangueras por contenedor'!A$2:B$500,2,FALSE)</f>
        <v>400</v>
      </c>
      <c r="N164" s="35">
        <f t="shared" si="128"/>
        <v>5.2499999999999998E-2</v>
      </c>
      <c r="O164" s="11">
        <f t="shared" si="129"/>
        <v>16</v>
      </c>
      <c r="P164" s="11">
        <f t="shared" si="130"/>
        <v>2400</v>
      </c>
      <c r="Q164" s="11">
        <f t="shared" si="131"/>
        <v>1</v>
      </c>
      <c r="R164" s="32">
        <f t="shared" si="132"/>
        <v>2400</v>
      </c>
      <c r="S164" s="32">
        <f t="shared" si="133"/>
        <v>16</v>
      </c>
      <c r="T164" s="32">
        <f t="shared" si="134"/>
        <v>400</v>
      </c>
      <c r="U164" s="59" t="str">
        <f t="shared" si="141"/>
        <v/>
      </c>
      <c r="V164" s="59" t="str">
        <f t="shared" si="141"/>
        <v/>
      </c>
      <c r="W164" s="59" t="str">
        <f t="shared" si="141"/>
        <v/>
      </c>
      <c r="X164" s="59" t="str">
        <f t="shared" si="141"/>
        <v/>
      </c>
      <c r="Y164" s="59" t="str">
        <f t="shared" si="141"/>
        <v/>
      </c>
      <c r="Z164" s="59" t="str">
        <f t="shared" si="141"/>
        <v/>
      </c>
      <c r="AA164" s="59" t="str">
        <f t="shared" si="141"/>
        <v/>
      </c>
      <c r="AB164" s="59" t="str">
        <f t="shared" si="141"/>
        <v/>
      </c>
      <c r="AC164" s="59" t="str">
        <f t="shared" si="141"/>
        <v/>
      </c>
      <c r="AD164" s="59" t="str">
        <f t="shared" si="141"/>
        <v/>
      </c>
      <c r="AE164" s="59" t="str">
        <f t="shared" si="144"/>
        <v/>
      </c>
      <c r="AF164" s="59" t="str">
        <f t="shared" si="144"/>
        <v/>
      </c>
      <c r="AG164" s="59" t="str">
        <f t="shared" si="142"/>
        <v/>
      </c>
      <c r="AH164" s="67" t="str">
        <f t="shared" si="142"/>
        <v/>
      </c>
      <c r="AI164" s="67" t="str">
        <f t="shared" si="142"/>
        <v/>
      </c>
      <c r="AJ164" s="67" t="str">
        <f t="shared" si="142"/>
        <v>X</v>
      </c>
      <c r="AK164" s="67" t="str">
        <f t="shared" si="142"/>
        <v/>
      </c>
      <c r="AL164" s="67" t="str">
        <f t="shared" si="142"/>
        <v/>
      </c>
      <c r="AM164" s="67" t="str">
        <f t="shared" si="142"/>
        <v/>
      </c>
      <c r="AN164" s="67" t="str">
        <f t="shared" si="142"/>
        <v/>
      </c>
      <c r="AO164" s="67" t="str">
        <f t="shared" si="142"/>
        <v/>
      </c>
      <c r="AP164" s="67" t="str">
        <f t="shared" si="142"/>
        <v/>
      </c>
      <c r="AQ164" s="67" t="str">
        <f t="shared" si="145"/>
        <v/>
      </c>
      <c r="AR164" s="67" t="str">
        <f t="shared" si="143"/>
        <v/>
      </c>
      <c r="AS164" s="67" t="str">
        <f t="shared" si="143"/>
        <v/>
      </c>
      <c r="AT164" s="67" t="str">
        <f t="shared" si="143"/>
        <v/>
      </c>
      <c r="AU164" s="68" t="str">
        <f t="shared" si="143"/>
        <v/>
      </c>
      <c r="AV164" s="68" t="str">
        <f t="shared" si="143"/>
        <v/>
      </c>
      <c r="AW164" s="68" t="str">
        <f t="shared" si="143"/>
        <v/>
      </c>
      <c r="AX164" s="68" t="str">
        <f t="shared" si="143"/>
        <v/>
      </c>
      <c r="AY164" s="68" t="str">
        <f t="shared" si="143"/>
        <v/>
      </c>
      <c r="AZ164" s="68" t="str">
        <f t="shared" si="143"/>
        <v>X</v>
      </c>
      <c r="BA164" s="68" t="str">
        <f t="shared" si="143"/>
        <v/>
      </c>
    </row>
    <row r="165" spans="1:53">
      <c r="A165" s="28">
        <v>5</v>
      </c>
      <c r="B165" s="58">
        <v>5205204</v>
      </c>
      <c r="C165" s="27" t="s">
        <v>93</v>
      </c>
      <c r="D165" s="78" t="s">
        <v>50</v>
      </c>
      <c r="E165" s="64">
        <v>5</v>
      </c>
      <c r="F165" s="31">
        <f>VLOOKUP(B165,'Estampados por manguera'!A$2:B$500,2,FALSE)</f>
        <v>1</v>
      </c>
      <c r="G165" s="20">
        <f t="shared" si="124"/>
        <v>5</v>
      </c>
      <c r="H165" s="20">
        <v>6</v>
      </c>
      <c r="I165" s="29">
        <f t="shared" si="125"/>
        <v>30</v>
      </c>
      <c r="J165" s="32">
        <f t="shared" si="126"/>
        <v>180</v>
      </c>
      <c r="K165" s="31">
        <f t="shared" si="127"/>
        <v>210</v>
      </c>
      <c r="L165" s="11">
        <v>1200</v>
      </c>
      <c r="M165" s="31">
        <f>VLOOKUP(B165,'Mangueras por contenedor'!A$2:B$500,2,FALSE)</f>
        <v>55</v>
      </c>
      <c r="N165" s="35">
        <f t="shared" si="128"/>
        <v>9.0909090909090912E-2</v>
      </c>
      <c r="O165" s="11">
        <f t="shared" si="129"/>
        <v>9</v>
      </c>
      <c r="P165" s="11">
        <f t="shared" si="130"/>
        <v>330</v>
      </c>
      <c r="Q165" s="11">
        <f t="shared" si="131"/>
        <v>2</v>
      </c>
      <c r="R165" s="32">
        <f t="shared" si="132"/>
        <v>660</v>
      </c>
      <c r="S165" s="32">
        <f t="shared" si="133"/>
        <v>18</v>
      </c>
      <c r="T165" s="32">
        <f t="shared" si="134"/>
        <v>110</v>
      </c>
      <c r="U165" s="59" t="str">
        <f t="shared" si="141"/>
        <v/>
      </c>
      <c r="V165" s="59" t="str">
        <f t="shared" si="141"/>
        <v/>
      </c>
      <c r="W165" s="59" t="str">
        <f t="shared" si="141"/>
        <v/>
      </c>
      <c r="X165" s="59" t="str">
        <f t="shared" si="141"/>
        <v/>
      </c>
      <c r="Y165" s="59" t="str">
        <f t="shared" si="141"/>
        <v/>
      </c>
      <c r="Z165" s="59" t="str">
        <f t="shared" si="141"/>
        <v/>
      </c>
      <c r="AA165" s="59" t="str">
        <f t="shared" si="141"/>
        <v/>
      </c>
      <c r="AB165" s="59" t="str">
        <f t="shared" si="141"/>
        <v/>
      </c>
      <c r="AC165" s="59" t="str">
        <f t="shared" si="141"/>
        <v/>
      </c>
      <c r="AD165" s="59" t="str">
        <f t="shared" si="141"/>
        <v/>
      </c>
      <c r="AE165" s="59" t="str">
        <f t="shared" si="144"/>
        <v/>
      </c>
      <c r="AF165" s="59" t="str">
        <f t="shared" si="144"/>
        <v/>
      </c>
      <c r="AG165" s="59" t="str">
        <f t="shared" si="142"/>
        <v/>
      </c>
      <c r="AH165" s="67" t="str">
        <f t="shared" si="142"/>
        <v/>
      </c>
      <c r="AI165" s="67" t="str">
        <f t="shared" si="142"/>
        <v/>
      </c>
      <c r="AJ165" s="67" t="str">
        <f t="shared" si="142"/>
        <v/>
      </c>
      <c r="AK165" s="67" t="str">
        <f t="shared" si="142"/>
        <v/>
      </c>
      <c r="AL165" s="67" t="str">
        <f t="shared" si="142"/>
        <v>X</v>
      </c>
      <c r="AM165" s="67" t="str">
        <f t="shared" si="142"/>
        <v/>
      </c>
      <c r="AN165" s="67" t="str">
        <f t="shared" si="142"/>
        <v/>
      </c>
      <c r="AO165" s="67" t="str">
        <f t="shared" si="142"/>
        <v/>
      </c>
      <c r="AP165" s="67" t="str">
        <f t="shared" si="142"/>
        <v/>
      </c>
      <c r="AQ165" s="67" t="str">
        <f t="shared" si="145"/>
        <v/>
      </c>
      <c r="AR165" s="67" t="str">
        <f t="shared" si="143"/>
        <v/>
      </c>
      <c r="AS165" s="67" t="str">
        <f t="shared" si="143"/>
        <v/>
      </c>
      <c r="AT165" s="67" t="str">
        <f t="shared" si="143"/>
        <v/>
      </c>
      <c r="AU165" s="68" t="str">
        <f t="shared" si="143"/>
        <v/>
      </c>
      <c r="AV165" s="68" t="str">
        <f t="shared" si="143"/>
        <v/>
      </c>
      <c r="AW165" s="68" t="str">
        <f t="shared" si="143"/>
        <v/>
      </c>
      <c r="AX165" s="68" t="str">
        <f t="shared" si="143"/>
        <v/>
      </c>
      <c r="AY165" s="68" t="str">
        <f t="shared" si="143"/>
        <v/>
      </c>
      <c r="AZ165" s="68" t="str">
        <f t="shared" si="143"/>
        <v/>
      </c>
      <c r="BA165" s="68" t="str">
        <f t="shared" si="143"/>
        <v/>
      </c>
    </row>
    <row r="166" spans="1:53">
      <c r="A166" s="28">
        <v>5</v>
      </c>
      <c r="B166" s="58">
        <v>5305281</v>
      </c>
      <c r="C166" s="27" t="s">
        <v>197</v>
      </c>
      <c r="D166" s="78" t="s">
        <v>50</v>
      </c>
      <c r="E166" s="64">
        <v>5</v>
      </c>
      <c r="F166" s="31">
        <f>VLOOKUP(B166,'Estampados por manguera'!A$2:B$500,2,FALSE)</f>
        <v>1</v>
      </c>
      <c r="G166" s="20">
        <f t="shared" si="124"/>
        <v>5</v>
      </c>
      <c r="H166" s="20">
        <v>6</v>
      </c>
      <c r="I166" s="29">
        <f t="shared" si="125"/>
        <v>30</v>
      </c>
      <c r="J166" s="32">
        <f t="shared" si="126"/>
        <v>180</v>
      </c>
      <c r="K166" s="31">
        <f t="shared" si="127"/>
        <v>210</v>
      </c>
      <c r="L166" s="11">
        <v>1200</v>
      </c>
      <c r="M166" s="31">
        <f>VLOOKUP(B166,'Mangueras por contenedor'!A$2:B$500,2,FALSE)</f>
        <v>54</v>
      </c>
      <c r="N166" s="35">
        <f t="shared" si="128"/>
        <v>9.2592592592592587E-2</v>
      </c>
      <c r="O166" s="11">
        <f t="shared" si="129"/>
        <v>9</v>
      </c>
      <c r="P166" s="11">
        <f t="shared" si="130"/>
        <v>324</v>
      </c>
      <c r="Q166" s="11">
        <f t="shared" si="131"/>
        <v>2</v>
      </c>
      <c r="R166" s="32">
        <f t="shared" si="132"/>
        <v>648</v>
      </c>
      <c r="S166" s="32">
        <f t="shared" si="133"/>
        <v>18</v>
      </c>
      <c r="T166" s="32">
        <f t="shared" si="134"/>
        <v>108</v>
      </c>
      <c r="U166" s="59" t="str">
        <f t="shared" ref="U166:AD172" si="146">IF(OR(U$142/$S166=1,U$142/$S166=2,U$142/$S166=3,U$142/$S166=4,U$142/$S166=5,U$142/$S166=6,U$142/$S166=7,U$142/$S166=8,U$142/$S166=9,U$142/$S166=10,U$142/$S166=11,U$142/$S166=12,U$142/$S166=13,U$142/$S166=14,U$142/$S166=15,U$142/$S166=16,U$142/$S166=17,U$142/$S166=18,U$142/$S166=19,U$142/$S166=20,U$142/$S166=21,U$142/$S166=22,U$142/$S166=23,U$142/$S166=24,U$142/$S166=25,U$142/$S166=26,U$142/$S166=27,U$142/$S166=28,U$142/$S166=29,U$142/$S166=30,U$142/$S166=31,U$142/$S166=32,U$142/$S166=33),"X","")</f>
        <v/>
      </c>
      <c r="V166" s="59" t="str">
        <f t="shared" si="146"/>
        <v/>
      </c>
      <c r="W166" s="59" t="str">
        <f t="shared" si="146"/>
        <v/>
      </c>
      <c r="X166" s="59" t="str">
        <f t="shared" si="146"/>
        <v/>
      </c>
      <c r="Y166" s="59" t="str">
        <f t="shared" si="146"/>
        <v/>
      </c>
      <c r="Z166" s="59" t="str">
        <f t="shared" si="146"/>
        <v/>
      </c>
      <c r="AA166" s="59" t="str">
        <f t="shared" si="146"/>
        <v/>
      </c>
      <c r="AB166" s="59" t="str">
        <f t="shared" si="146"/>
        <v/>
      </c>
      <c r="AC166" s="59" t="str">
        <f t="shared" si="146"/>
        <v/>
      </c>
      <c r="AD166" s="59" t="str">
        <f t="shared" si="146"/>
        <v/>
      </c>
      <c r="AE166" s="59" t="str">
        <f t="shared" si="144"/>
        <v/>
      </c>
      <c r="AF166" s="59" t="str">
        <f t="shared" si="144"/>
        <v/>
      </c>
      <c r="AG166" s="59" t="str">
        <f t="shared" ref="AG166:AP172" si="147">IF(OR(AG$142/$S166=1,AG$142/$S166=2,AG$142/$S166=3,AG$142/$S166=4,AG$142/$S166=5,AG$142/$S166=6,AG$142/$S166=7,AG$142/$S166=8,AG$142/$S166=9,AG$142/$S166=10,AG$142/$S166=11,AG$142/$S166=12,AG$142/$S166=13,AG$142/$S166=14,AG$142/$S166=15,AG$142/$S166=16,AG$142/$S166=17,AG$142/$S166=18,AG$142/$S166=19,AG$142/$S166=20,AG$142/$S166=21,AG$142/$S166=22,AG$142/$S166=23,AG$142/$S166=24,AG$142/$S166=25,AG$142/$S166=26,AG$142/$S166=27,AG$142/$S166=28,AG$142/$S166=29,AG$142/$S166=30,AG$142/$S166=31,AG$142/$S166=32,AG$142/$S166=33),"X","")</f>
        <v/>
      </c>
      <c r="AH166" s="67" t="str">
        <f t="shared" si="147"/>
        <v/>
      </c>
      <c r="AI166" s="67" t="str">
        <f t="shared" si="147"/>
        <v/>
      </c>
      <c r="AJ166" s="67" t="str">
        <f t="shared" si="147"/>
        <v/>
      </c>
      <c r="AK166" s="67" t="str">
        <f t="shared" si="147"/>
        <v/>
      </c>
      <c r="AL166" s="67" t="str">
        <f t="shared" si="147"/>
        <v>X</v>
      </c>
      <c r="AM166" s="67" t="str">
        <f t="shared" si="147"/>
        <v/>
      </c>
      <c r="AN166" s="67" t="str">
        <f t="shared" si="147"/>
        <v/>
      </c>
      <c r="AO166" s="67" t="str">
        <f t="shared" si="147"/>
        <v/>
      </c>
      <c r="AP166" s="67" t="str">
        <f t="shared" si="147"/>
        <v/>
      </c>
      <c r="AQ166" s="67" t="str">
        <f t="shared" si="145"/>
        <v/>
      </c>
      <c r="AR166" s="67" t="str">
        <f t="shared" ref="AR166:BA172" si="148">IF(OR(AR$142/$S166=1,AR$142/$S166=2,AR$142/$S166=3,AR$142/$S166=4,AR$142/$S166=5,AR$142/$S166=6,AR$142/$S166=7,AR$142/$S166=8,AR$142/$S166=9,AR$142/$S166=10,AR$142/$S166=11,AR$142/$S166=12,AR$142/$S166=13,AR$142/$S166=14,AR$142/$S166=15,AR$142/$S166=16,AR$142/$S166=17,AR$142/$S166=18,AR$142/$S166=19,AR$142/$S166=20,AR$142/$S166=21,AR$142/$S166=22,AR$142/$S166=23,AR$142/$S166=24,AR$142/$S166=25,AR$142/$S166=26,AR$142/$S166=27,AR$142/$S166=28,AR$142/$S166=29,AR$142/$S166=30,AR$142/$S166=31,AR$142/$S166=32,AR$142/$S166=33),"X","")</f>
        <v/>
      </c>
      <c r="AS166" s="67" t="str">
        <f t="shared" si="148"/>
        <v/>
      </c>
      <c r="AT166" s="67" t="str">
        <f t="shared" si="148"/>
        <v/>
      </c>
      <c r="AU166" s="68" t="str">
        <f t="shared" si="148"/>
        <v/>
      </c>
      <c r="AV166" s="68" t="str">
        <f t="shared" si="148"/>
        <v/>
      </c>
      <c r="AW166" s="68" t="str">
        <f t="shared" si="148"/>
        <v/>
      </c>
      <c r="AX166" s="68" t="str">
        <f t="shared" si="148"/>
        <v/>
      </c>
      <c r="AY166" s="68" t="str">
        <f t="shared" si="148"/>
        <v/>
      </c>
      <c r="AZ166" s="68" t="str">
        <f t="shared" si="148"/>
        <v/>
      </c>
      <c r="BA166" s="68" t="str">
        <f t="shared" si="148"/>
        <v/>
      </c>
    </row>
    <row r="167" spans="1:53">
      <c r="A167" s="28">
        <v>5</v>
      </c>
      <c r="B167" s="58">
        <v>5305211</v>
      </c>
      <c r="C167" s="27" t="s">
        <v>166</v>
      </c>
      <c r="D167" s="78" t="s">
        <v>50</v>
      </c>
      <c r="E167" s="64">
        <v>4</v>
      </c>
      <c r="F167" s="31">
        <f>VLOOKUP(B167,'Estampados por manguera'!A$2:B$500,2,FALSE)</f>
        <v>1</v>
      </c>
      <c r="G167" s="20">
        <f t="shared" si="124"/>
        <v>4</v>
      </c>
      <c r="H167" s="20">
        <v>6</v>
      </c>
      <c r="I167" s="29">
        <f t="shared" si="125"/>
        <v>24</v>
      </c>
      <c r="J167" s="32">
        <f t="shared" si="126"/>
        <v>180</v>
      </c>
      <c r="K167" s="31">
        <f t="shared" si="127"/>
        <v>204</v>
      </c>
      <c r="L167" s="11">
        <v>1200</v>
      </c>
      <c r="M167" s="31">
        <f>VLOOKUP(B167,'Mangueras por contenedor'!A$2:B$500,2,FALSE)</f>
        <v>50</v>
      </c>
      <c r="N167" s="35">
        <f t="shared" si="128"/>
        <v>0.08</v>
      </c>
      <c r="O167" s="11">
        <f t="shared" si="129"/>
        <v>10</v>
      </c>
      <c r="P167" s="11">
        <f t="shared" si="130"/>
        <v>300</v>
      </c>
      <c r="Q167" s="11">
        <f t="shared" si="131"/>
        <v>2</v>
      </c>
      <c r="R167" s="32">
        <f t="shared" si="132"/>
        <v>600</v>
      </c>
      <c r="S167" s="32">
        <f t="shared" si="133"/>
        <v>20</v>
      </c>
      <c r="T167" s="32">
        <f t="shared" si="134"/>
        <v>100</v>
      </c>
      <c r="U167" s="59" t="str">
        <f t="shared" si="146"/>
        <v/>
      </c>
      <c r="V167" s="59" t="str">
        <f t="shared" si="146"/>
        <v/>
      </c>
      <c r="W167" s="59" t="str">
        <f t="shared" si="146"/>
        <v/>
      </c>
      <c r="X167" s="59" t="str">
        <f t="shared" si="146"/>
        <v/>
      </c>
      <c r="Y167" s="59" t="str">
        <f t="shared" si="146"/>
        <v/>
      </c>
      <c r="Z167" s="59" t="str">
        <f t="shared" si="146"/>
        <v/>
      </c>
      <c r="AA167" s="59" t="str">
        <f t="shared" si="146"/>
        <v/>
      </c>
      <c r="AB167" s="59" t="str">
        <f t="shared" si="146"/>
        <v/>
      </c>
      <c r="AC167" s="59" t="str">
        <f t="shared" si="146"/>
        <v/>
      </c>
      <c r="AD167" s="59" t="str">
        <f t="shared" si="146"/>
        <v/>
      </c>
      <c r="AE167" s="59" t="str">
        <f t="shared" si="144"/>
        <v/>
      </c>
      <c r="AF167" s="59" t="str">
        <f t="shared" si="144"/>
        <v/>
      </c>
      <c r="AG167" s="59" t="str">
        <f t="shared" si="147"/>
        <v/>
      </c>
      <c r="AH167" s="67" t="str">
        <f t="shared" si="147"/>
        <v/>
      </c>
      <c r="AI167" s="67" t="str">
        <f t="shared" si="147"/>
        <v/>
      </c>
      <c r="AJ167" s="67" t="str">
        <f t="shared" si="147"/>
        <v/>
      </c>
      <c r="AK167" s="67" t="str">
        <f t="shared" si="147"/>
        <v/>
      </c>
      <c r="AL167" s="67" t="str">
        <f t="shared" si="147"/>
        <v/>
      </c>
      <c r="AM167" s="67" t="str">
        <f t="shared" si="147"/>
        <v/>
      </c>
      <c r="AN167" s="67" t="str">
        <f t="shared" si="147"/>
        <v>X</v>
      </c>
      <c r="AO167" s="67" t="str">
        <f t="shared" si="147"/>
        <v/>
      </c>
      <c r="AP167" s="67" t="str">
        <f t="shared" si="147"/>
        <v/>
      </c>
      <c r="AQ167" s="67" t="str">
        <f t="shared" si="145"/>
        <v/>
      </c>
      <c r="AR167" s="67" t="str">
        <f t="shared" si="148"/>
        <v/>
      </c>
      <c r="AS167" s="67" t="str">
        <f t="shared" si="148"/>
        <v/>
      </c>
      <c r="AT167" s="67" t="str">
        <f t="shared" si="148"/>
        <v/>
      </c>
      <c r="AU167" s="68" t="str">
        <f t="shared" si="148"/>
        <v/>
      </c>
      <c r="AV167" s="68" t="str">
        <f t="shared" si="148"/>
        <v/>
      </c>
      <c r="AW167" s="68" t="str">
        <f t="shared" si="148"/>
        <v/>
      </c>
      <c r="AX167" s="68" t="str">
        <f t="shared" si="148"/>
        <v/>
      </c>
      <c r="AY167" s="68" t="str">
        <f t="shared" si="148"/>
        <v/>
      </c>
      <c r="AZ167" s="68" t="str">
        <f t="shared" si="148"/>
        <v/>
      </c>
      <c r="BA167" s="68" t="str">
        <f t="shared" si="148"/>
        <v/>
      </c>
    </row>
    <row r="168" spans="1:53">
      <c r="A168" s="28">
        <v>5</v>
      </c>
      <c r="B168" s="58">
        <v>5205237</v>
      </c>
      <c r="C168" s="27" t="s">
        <v>200</v>
      </c>
      <c r="D168" s="78" t="s">
        <v>50</v>
      </c>
      <c r="E168" s="64">
        <v>5</v>
      </c>
      <c r="F168" s="31">
        <f>VLOOKUP(B168,'Estampados por manguera'!A$2:B$500,2,FALSE)</f>
        <v>2</v>
      </c>
      <c r="G168" s="20">
        <f t="shared" si="124"/>
        <v>10</v>
      </c>
      <c r="H168" s="20">
        <v>6</v>
      </c>
      <c r="I168" s="29">
        <f t="shared" si="125"/>
        <v>60</v>
      </c>
      <c r="J168" s="32">
        <f t="shared" si="126"/>
        <v>180</v>
      </c>
      <c r="K168" s="31">
        <f t="shared" si="127"/>
        <v>240</v>
      </c>
      <c r="L168" s="11">
        <v>1200</v>
      </c>
      <c r="M168" s="31">
        <f>VLOOKUP(B168,'Mangueras por contenedor'!A$2:B$500,2,FALSE)</f>
        <v>44</v>
      </c>
      <c r="N168" s="35">
        <f t="shared" si="128"/>
        <v>0.11363636363636363</v>
      </c>
      <c r="O168" s="11">
        <f t="shared" si="129"/>
        <v>8</v>
      </c>
      <c r="P168" s="11">
        <f t="shared" si="130"/>
        <v>528</v>
      </c>
      <c r="Q168" s="11">
        <f t="shared" si="131"/>
        <v>3</v>
      </c>
      <c r="R168" s="32">
        <f t="shared" si="132"/>
        <v>1584</v>
      </c>
      <c r="S168" s="32">
        <f t="shared" si="133"/>
        <v>24</v>
      </c>
      <c r="T168" s="32">
        <f t="shared" si="134"/>
        <v>132</v>
      </c>
      <c r="U168" s="59" t="str">
        <f t="shared" si="146"/>
        <v/>
      </c>
      <c r="V168" s="59" t="str">
        <f t="shared" si="146"/>
        <v/>
      </c>
      <c r="W168" s="59" t="str">
        <f t="shared" si="146"/>
        <v/>
      </c>
      <c r="X168" s="59" t="str">
        <f t="shared" si="146"/>
        <v/>
      </c>
      <c r="Y168" s="59" t="str">
        <f t="shared" si="146"/>
        <v/>
      </c>
      <c r="Z168" s="59" t="str">
        <f t="shared" si="146"/>
        <v/>
      </c>
      <c r="AA168" s="59" t="str">
        <f t="shared" si="146"/>
        <v/>
      </c>
      <c r="AB168" s="59" t="str">
        <f t="shared" si="146"/>
        <v/>
      </c>
      <c r="AC168" s="59" t="str">
        <f t="shared" si="146"/>
        <v/>
      </c>
      <c r="AD168" s="59" t="str">
        <f t="shared" si="146"/>
        <v/>
      </c>
      <c r="AE168" s="59" t="str">
        <f t="shared" si="144"/>
        <v/>
      </c>
      <c r="AF168" s="59" t="str">
        <f t="shared" si="144"/>
        <v/>
      </c>
      <c r="AG168" s="59" t="str">
        <f t="shared" si="147"/>
        <v/>
      </c>
      <c r="AH168" s="67" t="str">
        <f t="shared" si="147"/>
        <v/>
      </c>
      <c r="AI168" s="67" t="str">
        <f t="shared" si="147"/>
        <v/>
      </c>
      <c r="AJ168" s="67" t="str">
        <f t="shared" si="147"/>
        <v/>
      </c>
      <c r="AK168" s="67" t="str">
        <f t="shared" si="147"/>
        <v/>
      </c>
      <c r="AL168" s="67" t="str">
        <f t="shared" si="147"/>
        <v/>
      </c>
      <c r="AM168" s="67" t="str">
        <f t="shared" si="147"/>
        <v/>
      </c>
      <c r="AN168" s="67" t="str">
        <f t="shared" si="147"/>
        <v/>
      </c>
      <c r="AO168" s="67" t="str">
        <f t="shared" si="147"/>
        <v/>
      </c>
      <c r="AP168" s="67" t="str">
        <f t="shared" si="147"/>
        <v/>
      </c>
      <c r="AQ168" s="67" t="str">
        <f t="shared" si="145"/>
        <v/>
      </c>
      <c r="AR168" s="67" t="str">
        <f t="shared" si="148"/>
        <v>X</v>
      </c>
      <c r="AS168" s="67" t="str">
        <f t="shared" si="148"/>
        <v/>
      </c>
      <c r="AT168" s="67" t="str">
        <f t="shared" si="148"/>
        <v/>
      </c>
      <c r="AU168" s="68" t="str">
        <f t="shared" si="148"/>
        <v/>
      </c>
      <c r="AV168" s="68" t="str">
        <f t="shared" si="148"/>
        <v/>
      </c>
      <c r="AW168" s="68" t="str">
        <f t="shared" si="148"/>
        <v/>
      </c>
      <c r="AX168" s="68" t="str">
        <f t="shared" si="148"/>
        <v/>
      </c>
      <c r="AY168" s="68" t="str">
        <f t="shared" si="148"/>
        <v/>
      </c>
      <c r="AZ168" s="68" t="str">
        <f t="shared" si="148"/>
        <v/>
      </c>
      <c r="BA168" s="68" t="str">
        <f t="shared" si="148"/>
        <v/>
      </c>
    </row>
    <row r="169" spans="1:53">
      <c r="A169" s="28">
        <v>5</v>
      </c>
      <c r="B169" s="58">
        <v>5305341</v>
      </c>
      <c r="C169" s="27" t="s">
        <v>87</v>
      </c>
      <c r="D169" s="78" t="s">
        <v>50</v>
      </c>
      <c r="E169" s="64">
        <v>5</v>
      </c>
      <c r="F169" s="31">
        <f>VLOOKUP(B169,'Estampados por manguera'!A$2:B$500,2,FALSE)</f>
        <v>1</v>
      </c>
      <c r="G169" s="20">
        <f t="shared" si="124"/>
        <v>5</v>
      </c>
      <c r="H169" s="20">
        <v>6</v>
      </c>
      <c r="I169" s="29">
        <f t="shared" si="125"/>
        <v>30</v>
      </c>
      <c r="J169" s="32">
        <f t="shared" si="126"/>
        <v>180</v>
      </c>
      <c r="K169" s="31">
        <f t="shared" si="127"/>
        <v>210</v>
      </c>
      <c r="L169" s="11">
        <v>1200</v>
      </c>
      <c r="M169" s="31">
        <f>VLOOKUP(B169,'Mangueras por contenedor'!A$2:B$500,2,FALSE)</f>
        <v>80</v>
      </c>
      <c r="N169" s="35">
        <f t="shared" si="128"/>
        <v>6.25E-2</v>
      </c>
      <c r="O169" s="11">
        <f t="shared" si="129"/>
        <v>13</v>
      </c>
      <c r="P169" s="11">
        <f t="shared" si="130"/>
        <v>480</v>
      </c>
      <c r="Q169" s="11">
        <f t="shared" si="131"/>
        <v>2</v>
      </c>
      <c r="R169" s="32">
        <f t="shared" si="132"/>
        <v>960</v>
      </c>
      <c r="S169" s="32">
        <f t="shared" si="133"/>
        <v>26</v>
      </c>
      <c r="T169" s="32">
        <f t="shared" si="134"/>
        <v>160</v>
      </c>
      <c r="U169" s="59" t="str">
        <f t="shared" si="146"/>
        <v/>
      </c>
      <c r="V169" s="59" t="str">
        <f t="shared" si="146"/>
        <v/>
      </c>
      <c r="W169" s="59" t="str">
        <f t="shared" si="146"/>
        <v/>
      </c>
      <c r="X169" s="59" t="str">
        <f t="shared" si="146"/>
        <v/>
      </c>
      <c r="Y169" s="59" t="str">
        <f t="shared" si="146"/>
        <v/>
      </c>
      <c r="Z169" s="59" t="str">
        <f t="shared" si="146"/>
        <v/>
      </c>
      <c r="AA169" s="59" t="str">
        <f t="shared" si="146"/>
        <v/>
      </c>
      <c r="AB169" s="59" t="str">
        <f t="shared" si="146"/>
        <v/>
      </c>
      <c r="AC169" s="59" t="str">
        <f t="shared" si="146"/>
        <v/>
      </c>
      <c r="AD169" s="59" t="str">
        <f t="shared" si="146"/>
        <v/>
      </c>
      <c r="AE169" s="59" t="str">
        <f t="shared" si="144"/>
        <v/>
      </c>
      <c r="AF169" s="59" t="str">
        <f t="shared" si="144"/>
        <v/>
      </c>
      <c r="AG169" s="59" t="str">
        <f t="shared" si="147"/>
        <v/>
      </c>
      <c r="AH169" s="67" t="str">
        <f t="shared" si="147"/>
        <v/>
      </c>
      <c r="AI169" s="67" t="str">
        <f t="shared" si="147"/>
        <v/>
      </c>
      <c r="AJ169" s="67" t="str">
        <f t="shared" si="147"/>
        <v/>
      </c>
      <c r="AK169" s="67" t="str">
        <f t="shared" si="147"/>
        <v/>
      </c>
      <c r="AL169" s="67" t="str">
        <f t="shared" si="147"/>
        <v/>
      </c>
      <c r="AM169" s="67" t="str">
        <f t="shared" si="147"/>
        <v/>
      </c>
      <c r="AN169" s="67" t="str">
        <f t="shared" si="147"/>
        <v/>
      </c>
      <c r="AO169" s="67" t="str">
        <f t="shared" si="147"/>
        <v/>
      </c>
      <c r="AP169" s="67" t="str">
        <f t="shared" si="147"/>
        <v/>
      </c>
      <c r="AQ169" s="67" t="str">
        <f t="shared" si="145"/>
        <v/>
      </c>
      <c r="AR169" s="67" t="str">
        <f t="shared" si="148"/>
        <v/>
      </c>
      <c r="AS169" s="67" t="str">
        <f t="shared" si="148"/>
        <v/>
      </c>
      <c r="AT169" s="67" t="str">
        <f t="shared" si="148"/>
        <v>X</v>
      </c>
      <c r="AU169" s="68" t="str">
        <f t="shared" si="148"/>
        <v/>
      </c>
      <c r="AV169" s="68" t="str">
        <f t="shared" si="148"/>
        <v/>
      </c>
      <c r="AW169" s="68" t="str">
        <f t="shared" si="148"/>
        <v/>
      </c>
      <c r="AX169" s="68" t="str">
        <f t="shared" si="148"/>
        <v/>
      </c>
      <c r="AY169" s="68" t="str">
        <f t="shared" si="148"/>
        <v/>
      </c>
      <c r="AZ169" s="68" t="str">
        <f t="shared" si="148"/>
        <v/>
      </c>
      <c r="BA169" s="68" t="str">
        <f t="shared" si="148"/>
        <v/>
      </c>
    </row>
    <row r="170" spans="1:53">
      <c r="A170" s="28">
        <v>5</v>
      </c>
      <c r="B170" s="58">
        <v>5305235</v>
      </c>
      <c r="C170" s="27" t="s">
        <v>95</v>
      </c>
      <c r="D170" s="78" t="s">
        <v>50</v>
      </c>
      <c r="E170" s="64">
        <v>3</v>
      </c>
      <c r="F170" s="31">
        <f>VLOOKUP(B170,'Estampados por manguera'!A$2:B$500,2,FALSE)</f>
        <v>1</v>
      </c>
      <c r="G170" s="20">
        <f t="shared" si="124"/>
        <v>3</v>
      </c>
      <c r="H170" s="20">
        <v>6</v>
      </c>
      <c r="I170" s="29">
        <f t="shared" si="125"/>
        <v>18</v>
      </c>
      <c r="J170" s="32">
        <f t="shared" si="126"/>
        <v>180</v>
      </c>
      <c r="K170" s="31">
        <f t="shared" si="127"/>
        <v>198</v>
      </c>
      <c r="L170" s="11">
        <v>1200</v>
      </c>
      <c r="M170" s="31">
        <f>VLOOKUP(B170,'Mangueras por contenedor'!A$2:B$500,2,FALSE)</f>
        <v>33</v>
      </c>
      <c r="N170" s="35">
        <f t="shared" si="128"/>
        <v>9.0909090909090912E-2</v>
      </c>
      <c r="O170" s="11">
        <f t="shared" si="129"/>
        <v>9</v>
      </c>
      <c r="P170" s="11">
        <f t="shared" si="130"/>
        <v>198</v>
      </c>
      <c r="Q170" s="11">
        <f t="shared" si="131"/>
        <v>4</v>
      </c>
      <c r="R170" s="32">
        <f t="shared" si="132"/>
        <v>792</v>
      </c>
      <c r="S170" s="32">
        <f t="shared" si="133"/>
        <v>33</v>
      </c>
      <c r="T170" s="32">
        <f t="shared" si="134"/>
        <v>132</v>
      </c>
      <c r="U170" s="59" t="str">
        <f t="shared" si="146"/>
        <v/>
      </c>
      <c r="V170" s="59" t="str">
        <f t="shared" si="146"/>
        <v/>
      </c>
      <c r="W170" s="59" t="str">
        <f t="shared" si="146"/>
        <v/>
      </c>
      <c r="X170" s="59" t="str">
        <f t="shared" si="146"/>
        <v/>
      </c>
      <c r="Y170" s="59" t="str">
        <f t="shared" si="146"/>
        <v/>
      </c>
      <c r="Z170" s="59" t="str">
        <f t="shared" si="146"/>
        <v/>
      </c>
      <c r="AA170" s="59" t="str">
        <f t="shared" si="146"/>
        <v/>
      </c>
      <c r="AB170" s="59" t="str">
        <f t="shared" si="146"/>
        <v/>
      </c>
      <c r="AC170" s="59" t="str">
        <f t="shared" si="146"/>
        <v/>
      </c>
      <c r="AD170" s="59" t="str">
        <f t="shared" si="146"/>
        <v/>
      </c>
      <c r="AE170" s="59" t="str">
        <f t="shared" si="144"/>
        <v/>
      </c>
      <c r="AF170" s="59" t="str">
        <f t="shared" si="144"/>
        <v/>
      </c>
      <c r="AG170" s="59" t="str">
        <f t="shared" si="147"/>
        <v/>
      </c>
      <c r="AH170" s="67" t="str">
        <f t="shared" si="147"/>
        <v/>
      </c>
      <c r="AI170" s="67" t="str">
        <f t="shared" si="147"/>
        <v/>
      </c>
      <c r="AJ170" s="67" t="str">
        <f t="shared" si="147"/>
        <v/>
      </c>
      <c r="AK170" s="67" t="str">
        <f t="shared" si="147"/>
        <v/>
      </c>
      <c r="AL170" s="67" t="str">
        <f t="shared" si="147"/>
        <v/>
      </c>
      <c r="AM170" s="67" t="str">
        <f t="shared" si="147"/>
        <v/>
      </c>
      <c r="AN170" s="67" t="str">
        <f t="shared" si="147"/>
        <v/>
      </c>
      <c r="AO170" s="67" t="str">
        <f t="shared" si="147"/>
        <v/>
      </c>
      <c r="AP170" s="67" t="str">
        <f t="shared" si="147"/>
        <v/>
      </c>
      <c r="AQ170" s="67" t="str">
        <f t="shared" si="145"/>
        <v/>
      </c>
      <c r="AR170" s="67" t="str">
        <f t="shared" si="148"/>
        <v/>
      </c>
      <c r="AS170" s="67" t="str">
        <f t="shared" si="148"/>
        <v/>
      </c>
      <c r="AT170" s="67" t="str">
        <f t="shared" si="148"/>
        <v/>
      </c>
      <c r="AU170" s="68" t="str">
        <f t="shared" si="148"/>
        <v/>
      </c>
      <c r="AV170" s="68" t="str">
        <f t="shared" si="148"/>
        <v/>
      </c>
      <c r="AW170" s="68" t="str">
        <f t="shared" si="148"/>
        <v/>
      </c>
      <c r="AX170" s="68" t="str">
        <f t="shared" si="148"/>
        <v/>
      </c>
      <c r="AY170" s="68" t="str">
        <f t="shared" si="148"/>
        <v/>
      </c>
      <c r="AZ170" s="68" t="str">
        <f t="shared" si="148"/>
        <v/>
      </c>
      <c r="BA170" s="68" t="str">
        <f t="shared" si="148"/>
        <v>X</v>
      </c>
    </row>
    <row r="171" spans="1:53">
      <c r="A171" s="28">
        <v>5</v>
      </c>
      <c r="B171" s="58">
        <v>5205224</v>
      </c>
      <c r="C171" s="27" t="s">
        <v>74</v>
      </c>
      <c r="D171" s="78" t="s">
        <v>50</v>
      </c>
      <c r="E171" s="64">
        <v>2</v>
      </c>
      <c r="F171" s="31">
        <f>VLOOKUP(B171,'Estampados por manguera'!A$2:B$500,2,FALSE)</f>
        <v>2</v>
      </c>
      <c r="G171" s="20">
        <f t="shared" si="124"/>
        <v>4</v>
      </c>
      <c r="H171" s="20">
        <v>6</v>
      </c>
      <c r="I171" s="29">
        <f t="shared" si="125"/>
        <v>24</v>
      </c>
      <c r="J171" s="32">
        <f t="shared" si="126"/>
        <v>180</v>
      </c>
      <c r="K171" s="31">
        <f t="shared" si="127"/>
        <v>204</v>
      </c>
      <c r="L171" s="11">
        <v>1200</v>
      </c>
      <c r="M171" s="31">
        <f>VLOOKUP(B171,'Mangueras por contenedor'!A$2:B$500,2,FALSE)</f>
        <v>68</v>
      </c>
      <c r="N171" s="35">
        <f t="shared" si="128"/>
        <v>2.9411764705882353E-2</v>
      </c>
      <c r="O171" s="11">
        <f t="shared" si="129"/>
        <v>28</v>
      </c>
      <c r="P171" s="11">
        <f t="shared" si="130"/>
        <v>816</v>
      </c>
      <c r="Q171" s="11">
        <f t="shared" si="131"/>
        <v>2</v>
      </c>
      <c r="R171" s="32">
        <f t="shared" si="132"/>
        <v>1632</v>
      </c>
      <c r="S171" s="32">
        <f t="shared" si="133"/>
        <v>33</v>
      </c>
      <c r="T171" s="32">
        <f t="shared" si="134"/>
        <v>136</v>
      </c>
      <c r="U171" s="97" t="str">
        <f t="shared" si="146"/>
        <v/>
      </c>
      <c r="V171" s="97" t="str">
        <f t="shared" si="146"/>
        <v/>
      </c>
      <c r="W171" s="97" t="str">
        <f t="shared" si="146"/>
        <v/>
      </c>
      <c r="X171" s="97" t="str">
        <f t="shared" si="146"/>
        <v/>
      </c>
      <c r="Y171" s="97" t="str">
        <f t="shared" si="146"/>
        <v/>
      </c>
      <c r="Z171" s="97" t="str">
        <f t="shared" si="146"/>
        <v/>
      </c>
      <c r="AA171" s="97" t="str">
        <f t="shared" si="146"/>
        <v/>
      </c>
      <c r="AB171" s="97" t="str">
        <f t="shared" si="146"/>
        <v/>
      </c>
      <c r="AC171" s="97" t="str">
        <f t="shared" si="146"/>
        <v/>
      </c>
      <c r="AD171" s="97" t="str">
        <f t="shared" si="146"/>
        <v/>
      </c>
      <c r="AE171" s="97" t="str">
        <f t="shared" si="144"/>
        <v/>
      </c>
      <c r="AF171" s="97" t="str">
        <f t="shared" si="144"/>
        <v/>
      </c>
      <c r="AG171" s="97" t="str">
        <f t="shared" si="147"/>
        <v/>
      </c>
      <c r="AH171" s="98" t="str">
        <f t="shared" si="147"/>
        <v/>
      </c>
      <c r="AI171" s="98" t="str">
        <f t="shared" si="147"/>
        <v/>
      </c>
      <c r="AJ171" s="98" t="str">
        <f t="shared" si="147"/>
        <v/>
      </c>
      <c r="AK171" s="98" t="str">
        <f t="shared" si="147"/>
        <v/>
      </c>
      <c r="AL171" s="98" t="str">
        <f t="shared" si="147"/>
        <v/>
      </c>
      <c r="AM171" s="98" t="str">
        <f t="shared" si="147"/>
        <v/>
      </c>
      <c r="AN171" s="98" t="str">
        <f t="shared" si="147"/>
        <v/>
      </c>
      <c r="AO171" s="98" t="str">
        <f t="shared" si="147"/>
        <v/>
      </c>
      <c r="AP171" s="98" t="str">
        <f t="shared" si="147"/>
        <v/>
      </c>
      <c r="AQ171" s="98" t="str">
        <f t="shared" si="145"/>
        <v/>
      </c>
      <c r="AR171" s="98" t="str">
        <f t="shared" si="148"/>
        <v/>
      </c>
      <c r="AS171" s="98" t="str">
        <f t="shared" si="148"/>
        <v/>
      </c>
      <c r="AT171" s="98" t="str">
        <f t="shared" si="148"/>
        <v/>
      </c>
      <c r="AU171" s="168" t="str">
        <f t="shared" si="148"/>
        <v/>
      </c>
      <c r="AV171" s="68" t="str">
        <f t="shared" si="148"/>
        <v/>
      </c>
      <c r="AW171" s="168" t="str">
        <f t="shared" si="148"/>
        <v/>
      </c>
      <c r="AX171" s="168" t="str">
        <f t="shared" si="148"/>
        <v/>
      </c>
      <c r="AY171" s="168" t="str">
        <f t="shared" si="148"/>
        <v/>
      </c>
      <c r="AZ171" s="168" t="str">
        <f t="shared" si="148"/>
        <v/>
      </c>
      <c r="BA171" s="99" t="str">
        <f t="shared" si="148"/>
        <v>X</v>
      </c>
    </row>
    <row r="172" spans="1:53">
      <c r="A172" s="28">
        <v>5</v>
      </c>
      <c r="B172" s="58">
        <v>5205220</v>
      </c>
      <c r="C172" s="27" t="s">
        <v>125</v>
      </c>
      <c r="D172" s="78" t="s">
        <v>50</v>
      </c>
      <c r="E172" s="64">
        <v>1</v>
      </c>
      <c r="F172" s="31">
        <f>VLOOKUP(B172,'Estampados por manguera'!A$2:B$500,2,FALSE)</f>
        <v>2</v>
      </c>
      <c r="G172" s="20">
        <f t="shared" si="124"/>
        <v>2</v>
      </c>
      <c r="H172" s="20">
        <v>6</v>
      </c>
      <c r="I172" s="29">
        <f t="shared" si="125"/>
        <v>12</v>
      </c>
      <c r="J172" s="32">
        <f t="shared" si="126"/>
        <v>180</v>
      </c>
      <c r="K172" s="31">
        <f t="shared" si="127"/>
        <v>192</v>
      </c>
      <c r="L172" s="11">
        <v>1200</v>
      </c>
      <c r="M172" s="31">
        <f>VLOOKUP(B172,'Mangueras por contenedor'!A$2:B$500,2,FALSE)</f>
        <v>65</v>
      </c>
      <c r="N172" s="35">
        <f t="shared" si="128"/>
        <v>1.5384615384615385E-2</v>
      </c>
      <c r="O172" s="11">
        <f t="shared" si="129"/>
        <v>33</v>
      </c>
      <c r="P172" s="11">
        <f t="shared" si="130"/>
        <v>780</v>
      </c>
      <c r="Q172" s="11">
        <f t="shared" si="131"/>
        <v>2</v>
      </c>
      <c r="R172" s="32">
        <f t="shared" si="132"/>
        <v>1560</v>
      </c>
      <c r="S172" s="32">
        <f t="shared" si="133"/>
        <v>33</v>
      </c>
      <c r="T172" s="32">
        <f t="shared" si="134"/>
        <v>130</v>
      </c>
      <c r="U172" s="59" t="str">
        <f t="shared" si="146"/>
        <v/>
      </c>
      <c r="V172" s="59" t="str">
        <f t="shared" si="146"/>
        <v/>
      </c>
      <c r="W172" s="59" t="str">
        <f t="shared" si="146"/>
        <v/>
      </c>
      <c r="X172" s="59" t="str">
        <f t="shared" si="146"/>
        <v/>
      </c>
      <c r="Y172" s="59" t="str">
        <f t="shared" si="146"/>
        <v/>
      </c>
      <c r="Z172" s="59" t="str">
        <f t="shared" si="146"/>
        <v/>
      </c>
      <c r="AA172" s="59" t="str">
        <f t="shared" si="146"/>
        <v/>
      </c>
      <c r="AB172" s="59" t="str">
        <f t="shared" si="146"/>
        <v/>
      </c>
      <c r="AC172" s="59" t="str">
        <f t="shared" si="146"/>
        <v/>
      </c>
      <c r="AD172" s="59" t="str">
        <f t="shared" si="146"/>
        <v/>
      </c>
      <c r="AE172" s="59" t="str">
        <f t="shared" si="144"/>
        <v/>
      </c>
      <c r="AF172" s="59" t="str">
        <f t="shared" si="144"/>
        <v/>
      </c>
      <c r="AG172" s="59" t="str">
        <f t="shared" si="147"/>
        <v/>
      </c>
      <c r="AH172" s="67" t="str">
        <f t="shared" si="147"/>
        <v/>
      </c>
      <c r="AI172" s="67" t="str">
        <f t="shared" si="147"/>
        <v/>
      </c>
      <c r="AJ172" s="67" t="str">
        <f t="shared" si="147"/>
        <v/>
      </c>
      <c r="AK172" s="67" t="str">
        <f t="shared" si="147"/>
        <v/>
      </c>
      <c r="AL172" s="67" t="str">
        <f t="shared" si="147"/>
        <v/>
      </c>
      <c r="AM172" s="67" t="str">
        <f t="shared" si="147"/>
        <v/>
      </c>
      <c r="AN172" s="67" t="str">
        <f t="shared" si="147"/>
        <v/>
      </c>
      <c r="AO172" s="67" t="str">
        <f t="shared" si="147"/>
        <v/>
      </c>
      <c r="AP172" s="67" t="str">
        <f t="shared" si="147"/>
        <v/>
      </c>
      <c r="AQ172" s="67" t="str">
        <f t="shared" si="145"/>
        <v/>
      </c>
      <c r="AR172" s="67" t="str">
        <f t="shared" si="148"/>
        <v/>
      </c>
      <c r="AS172" s="67" t="str">
        <f t="shared" si="148"/>
        <v/>
      </c>
      <c r="AT172" s="67" t="str">
        <f t="shared" si="148"/>
        <v/>
      </c>
      <c r="AU172" s="68" t="str">
        <f t="shared" si="148"/>
        <v/>
      </c>
      <c r="AV172" s="68" t="str">
        <f t="shared" si="148"/>
        <v/>
      </c>
      <c r="AW172" s="68" t="str">
        <f t="shared" si="148"/>
        <v/>
      </c>
      <c r="AX172" s="68" t="str">
        <f t="shared" si="148"/>
        <v/>
      </c>
      <c r="AY172" s="68" t="str">
        <f t="shared" si="148"/>
        <v/>
      </c>
      <c r="AZ172" s="68" t="str">
        <f t="shared" si="148"/>
        <v/>
      </c>
      <c r="BA172" s="68" t="str">
        <f t="shared" si="148"/>
        <v>X</v>
      </c>
    </row>
    <row r="173" spans="1:53">
      <c r="T173" s="42" t="s">
        <v>107</v>
      </c>
      <c r="U173" s="14">
        <f t="shared" ref="U173:BA173" si="149">SUMIFS($P$143:$P$165,U145:U167,"x")</f>
        <v>0</v>
      </c>
      <c r="V173" s="14">
        <f t="shared" si="149"/>
        <v>0</v>
      </c>
      <c r="W173" s="14">
        <f t="shared" si="149"/>
        <v>2340</v>
      </c>
      <c r="X173" s="14">
        <f t="shared" si="149"/>
        <v>5520</v>
      </c>
      <c r="Y173" s="14">
        <f t="shared" si="149"/>
        <v>150</v>
      </c>
      <c r="Z173" s="14">
        <f t="shared" si="149"/>
        <v>3120</v>
      </c>
      <c r="AA173" s="14">
        <f t="shared" si="149"/>
        <v>0</v>
      </c>
      <c r="AB173" s="14">
        <f t="shared" si="149"/>
        <v>7740</v>
      </c>
      <c r="AC173" s="14">
        <f t="shared" si="149"/>
        <v>2940</v>
      </c>
      <c r="AD173" s="14">
        <f t="shared" si="149"/>
        <v>150</v>
      </c>
      <c r="AE173" s="14">
        <f t="shared" si="149"/>
        <v>780</v>
      </c>
      <c r="AF173" s="14">
        <f t="shared" si="149"/>
        <v>8940</v>
      </c>
      <c r="AG173" s="14">
        <f t="shared" si="149"/>
        <v>2520</v>
      </c>
      <c r="AH173" s="14">
        <f t="shared" si="149"/>
        <v>540</v>
      </c>
      <c r="AI173" s="14">
        <f t="shared" si="149"/>
        <v>2490</v>
      </c>
      <c r="AJ173" s="14">
        <f t="shared" si="149"/>
        <v>8280</v>
      </c>
      <c r="AK173" s="14">
        <f t="shared" si="149"/>
        <v>0</v>
      </c>
      <c r="AL173" s="14">
        <f t="shared" si="149"/>
        <v>6600</v>
      </c>
      <c r="AM173" s="14">
        <f t="shared" si="149"/>
        <v>0</v>
      </c>
      <c r="AN173" s="14">
        <f t="shared" si="149"/>
        <v>6000</v>
      </c>
      <c r="AO173" s="14">
        <f t="shared" si="149"/>
        <v>2340</v>
      </c>
      <c r="AP173" s="14">
        <f t="shared" si="149"/>
        <v>0</v>
      </c>
      <c r="AQ173" s="14">
        <f t="shared" si="149"/>
        <v>6120</v>
      </c>
      <c r="AR173" s="14">
        <f t="shared" si="149"/>
        <v>8340</v>
      </c>
      <c r="AS173" s="14">
        <f t="shared" si="149"/>
        <v>150</v>
      </c>
      <c r="AT173" s="14">
        <f t="shared" si="149"/>
        <v>0</v>
      </c>
      <c r="AU173" s="14">
        <f t="shared" si="149"/>
        <v>2940</v>
      </c>
      <c r="AV173" s="14">
        <f t="shared" si="149"/>
        <v>6060</v>
      </c>
      <c r="AW173" s="14">
        <f t="shared" si="149"/>
        <v>0</v>
      </c>
      <c r="AX173" s="14">
        <f t="shared" si="149"/>
        <v>3270</v>
      </c>
      <c r="AY173" s="14">
        <f t="shared" si="149"/>
        <v>0</v>
      </c>
      <c r="AZ173" s="14">
        <f t="shared" si="149"/>
        <v>8280</v>
      </c>
      <c r="BA173" s="14">
        <f t="shared" si="149"/>
        <v>2340</v>
      </c>
    </row>
    <row r="174" spans="1:53">
      <c r="T174" s="42" t="s">
        <v>10</v>
      </c>
      <c r="U174" s="14">
        <f t="shared" ref="U174:BA174" si="150">(COUNTIF(U145:U167,"X"))*180</f>
        <v>0</v>
      </c>
      <c r="V174" s="14">
        <f t="shared" si="150"/>
        <v>0</v>
      </c>
      <c r="W174" s="14">
        <f t="shared" si="150"/>
        <v>540</v>
      </c>
      <c r="X174" s="14">
        <f t="shared" si="150"/>
        <v>1260</v>
      </c>
      <c r="Y174" s="14">
        <f t="shared" si="150"/>
        <v>180</v>
      </c>
      <c r="Z174" s="14">
        <f t="shared" si="150"/>
        <v>900</v>
      </c>
      <c r="AA174" s="14">
        <f t="shared" si="150"/>
        <v>0</v>
      </c>
      <c r="AB174" s="14">
        <f t="shared" si="150"/>
        <v>1800</v>
      </c>
      <c r="AC174" s="14">
        <f t="shared" si="150"/>
        <v>720</v>
      </c>
      <c r="AD174" s="14">
        <f t="shared" si="150"/>
        <v>180</v>
      </c>
      <c r="AE174" s="14">
        <f t="shared" si="150"/>
        <v>360</v>
      </c>
      <c r="AF174" s="14">
        <f t="shared" si="150"/>
        <v>1440</v>
      </c>
      <c r="AG174" s="14">
        <f t="shared" si="150"/>
        <v>540</v>
      </c>
      <c r="AH174" s="14">
        <f t="shared" si="150"/>
        <v>180</v>
      </c>
      <c r="AI174" s="14">
        <f t="shared" si="150"/>
        <v>720</v>
      </c>
      <c r="AJ174" s="14">
        <f t="shared" si="150"/>
        <v>1980</v>
      </c>
      <c r="AK174" s="14">
        <f t="shared" si="150"/>
        <v>0</v>
      </c>
      <c r="AL174" s="14">
        <f t="shared" si="150"/>
        <v>1440</v>
      </c>
      <c r="AM174" s="14">
        <f t="shared" si="150"/>
        <v>0</v>
      </c>
      <c r="AN174" s="14">
        <f t="shared" si="150"/>
        <v>1620</v>
      </c>
      <c r="AO174" s="14">
        <f t="shared" si="150"/>
        <v>540</v>
      </c>
      <c r="AP174" s="14">
        <f t="shared" si="150"/>
        <v>0</v>
      </c>
      <c r="AQ174" s="14">
        <f t="shared" si="150"/>
        <v>1440</v>
      </c>
      <c r="AR174" s="14">
        <f t="shared" si="150"/>
        <v>1440</v>
      </c>
      <c r="AS174" s="14">
        <f t="shared" si="150"/>
        <v>180</v>
      </c>
      <c r="AT174" s="14">
        <f t="shared" si="150"/>
        <v>0</v>
      </c>
      <c r="AU174" s="14">
        <f t="shared" si="150"/>
        <v>720</v>
      </c>
      <c r="AV174" s="14">
        <f t="shared" si="150"/>
        <v>1440</v>
      </c>
      <c r="AW174" s="14">
        <f t="shared" si="150"/>
        <v>0</v>
      </c>
      <c r="AX174" s="14">
        <f t="shared" si="150"/>
        <v>1080</v>
      </c>
      <c r="AY174" s="14">
        <f t="shared" si="150"/>
        <v>0</v>
      </c>
      <c r="AZ174" s="14">
        <f t="shared" si="150"/>
        <v>1980</v>
      </c>
      <c r="BA174" s="14">
        <f t="shared" si="150"/>
        <v>540</v>
      </c>
    </row>
  </sheetData>
  <autoFilter ref="A79:AAV79"/>
  <mergeCells count="15">
    <mergeCell ref="U2:AG2"/>
    <mergeCell ref="AH2:AT2"/>
    <mergeCell ref="AU2:BA2"/>
    <mergeCell ref="U35:AG35"/>
    <mergeCell ref="AH35:AT35"/>
    <mergeCell ref="AU35:BA35"/>
    <mergeCell ref="U141:AG141"/>
    <mergeCell ref="AH141:AT141"/>
    <mergeCell ref="AU141:BA141"/>
    <mergeCell ref="U78:AG78"/>
    <mergeCell ref="AH78:AT78"/>
    <mergeCell ref="AU78:BA78"/>
    <mergeCell ref="U112:AG112"/>
    <mergeCell ref="AH112:AT112"/>
    <mergeCell ref="AU112:BA112"/>
  </mergeCells>
  <conditionalFormatting sqref="C114:C136 C143:C172 C4:C30 C61:C73 C80:C107 C37:C59">
    <cfRule type="cellIs" dxfId="10" priority="93" operator="equal">
      <formula>$D4</formula>
    </cfRule>
  </conditionalFormatting>
  <conditionalFormatting sqref="C161">
    <cfRule type="cellIs" dxfId="9" priority="82" operator="equal">
      <formula>$D161</formula>
    </cfRule>
  </conditionalFormatting>
  <conditionalFormatting sqref="F143:F172 F114:F136 F80:F107 F37:F73 F4:F30">
    <cfRule type="cellIs" dxfId="8" priority="81" operator="equal">
      <formula>0</formula>
    </cfRule>
  </conditionalFormatting>
  <conditionalFormatting sqref="U137:BA137 U31:BB31 U108:BA108 U74:BA74">
    <cfRule type="cellIs" dxfId="7" priority="65" operator="greaterThan">
      <formula>9600</formula>
    </cfRule>
  </conditionalFormatting>
  <conditionalFormatting sqref="C48">
    <cfRule type="cellIs" dxfId="6" priority="21" operator="equal">
      <formula>$D48</formula>
    </cfRule>
  </conditionalFormatting>
  <conditionalFormatting sqref="B173:B1048576 B141:B142 B108:B113 B74:B79 B31:B36 B1:B3">
    <cfRule type="expression" dxfId="5" priority="133">
      <formula>COUNTIF($CH$2:$CH$41,$CH$2)&lt;0</formula>
    </cfRule>
  </conditionalFormatting>
  <conditionalFormatting sqref="C60">
    <cfRule type="cellIs" dxfId="4" priority="10" operator="equal">
      <formula>$D60</formula>
    </cfRule>
  </conditionalFormatting>
  <conditionalFormatting sqref="U173:BA173">
    <cfRule type="cellIs" dxfId="3" priority="3" operator="greaterThan">
      <formula>9600</formula>
    </cfRule>
  </conditionalFormatting>
  <conditionalFormatting sqref="F1:F1048576">
    <cfRule type="containsErrors" dxfId="2" priority="2">
      <formula>ISERROR(F1)</formula>
    </cfRule>
  </conditionalFormatting>
  <conditionalFormatting sqref="U31:BA31">
    <cfRule type="cellIs" dxfId="1" priority="1" operator="greaterThan">
      <formula>3840</formula>
    </cfRule>
  </conditionalFormatting>
  <pageMargins left="0.70866141732283472" right="0.70866141732283472" top="0.74803149606299213" bottom="0.74803149606299213" header="0.31496062992125984" footer="0.31496062992125984"/>
  <pageSetup scale="8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O366"/>
  <sheetViews>
    <sheetView tabSelected="1" topLeftCell="A199" zoomScale="145" zoomScaleNormal="145" workbookViewId="0">
      <selection activeCell="M220" sqref="M220"/>
    </sheetView>
  </sheetViews>
  <sheetFormatPr baseColWidth="10" defaultRowHeight="15"/>
  <cols>
    <col min="1" max="1" width="11.5703125" style="119" bestFit="1" customWidth="1"/>
    <col min="2" max="2" width="10.7109375" style="119" bestFit="1" customWidth="1"/>
    <col min="3" max="3" width="10.85546875" style="119" bestFit="1" customWidth="1"/>
    <col min="4" max="4" width="11.5703125" style="119" bestFit="1" customWidth="1"/>
    <col min="5" max="5" width="10.7109375" style="119" bestFit="1" customWidth="1"/>
    <col min="6" max="6" width="11.5703125" style="119" bestFit="1" customWidth="1"/>
    <col min="7" max="7" width="10.7109375" style="119" bestFit="1" customWidth="1"/>
    <col min="8" max="8" width="11.5703125" style="119" bestFit="1" customWidth="1"/>
    <col min="9" max="9" width="10.7109375" style="119" bestFit="1" customWidth="1"/>
    <col min="10" max="10" width="11.5703125" style="119" bestFit="1" customWidth="1"/>
    <col min="11" max="11" width="10.7109375" style="119" bestFit="1" customWidth="1"/>
    <col min="12" max="12" width="10.85546875" style="119" bestFit="1" customWidth="1"/>
    <col min="13" max="13" width="13.85546875" style="119" customWidth="1"/>
    <col min="14" max="14" width="13.85546875" style="119" bestFit="1" customWidth="1"/>
    <col min="15" max="15" width="11.42578125" style="119"/>
    <col min="16" max="16" width="11.42578125" style="119" customWidth="1"/>
    <col min="17" max="18" width="11.42578125" style="119"/>
    <col min="19" max="19" width="11.42578125" style="119" customWidth="1"/>
    <col min="20" max="21" width="11.42578125" style="119"/>
    <col min="22" max="22" width="11.42578125" style="60" customWidth="1"/>
    <col min="23" max="16384" width="11.42578125" style="60"/>
  </cols>
  <sheetData>
    <row r="1" spans="1:6">
      <c r="A1" s="173" t="s">
        <v>167</v>
      </c>
      <c r="B1" s="173"/>
      <c r="C1" s="173"/>
      <c r="D1" s="173"/>
      <c r="E1" s="173"/>
      <c r="F1" s="173"/>
    </row>
    <row r="2" spans="1:6">
      <c r="A2" s="184" t="s">
        <v>109</v>
      </c>
      <c r="B2" s="184"/>
      <c r="C2" s="184"/>
      <c r="D2" s="184"/>
      <c r="E2" s="184"/>
      <c r="F2" s="184"/>
    </row>
    <row r="3" spans="1:6">
      <c r="A3" s="184" t="s">
        <v>168</v>
      </c>
      <c r="B3" s="184"/>
      <c r="C3" s="184"/>
      <c r="D3" s="184" t="s">
        <v>169</v>
      </c>
      <c r="E3" s="184"/>
      <c r="F3" s="184"/>
    </row>
    <row r="4" spans="1:6">
      <c r="A4" s="184" t="s">
        <v>110</v>
      </c>
      <c r="B4" s="184"/>
      <c r="C4" s="184"/>
      <c r="D4" s="184" t="s">
        <v>111</v>
      </c>
      <c r="E4" s="184"/>
      <c r="F4" s="184"/>
    </row>
    <row r="5" spans="1:6" ht="36">
      <c r="A5" s="117" t="s">
        <v>114</v>
      </c>
      <c r="B5" s="118" t="s">
        <v>115</v>
      </c>
      <c r="C5" s="118" t="s">
        <v>172</v>
      </c>
      <c r="D5" s="117" t="s">
        <v>114</v>
      </c>
      <c r="E5" s="118" t="s">
        <v>115</v>
      </c>
      <c r="F5" s="118" t="s">
        <v>172</v>
      </c>
    </row>
    <row r="6" spans="1:6">
      <c r="A6" s="120">
        <v>5201406</v>
      </c>
      <c r="B6" s="121">
        <v>100</v>
      </c>
      <c r="C6" s="121"/>
      <c r="D6" s="120">
        <v>5201406</v>
      </c>
      <c r="E6" s="121">
        <v>100</v>
      </c>
      <c r="F6" s="121"/>
    </row>
    <row r="7" spans="1:6">
      <c r="A7" s="120">
        <v>5201406</v>
      </c>
      <c r="B7" s="121">
        <v>100</v>
      </c>
      <c r="C7" s="121"/>
      <c r="D7" s="103">
        <v>5301413</v>
      </c>
      <c r="E7" s="104">
        <v>100</v>
      </c>
      <c r="F7" s="104"/>
    </row>
    <row r="8" spans="1:6">
      <c r="A8" s="109">
        <v>5301404</v>
      </c>
      <c r="B8" s="110">
        <v>120</v>
      </c>
      <c r="C8" s="110"/>
      <c r="D8" s="122">
        <v>5201407</v>
      </c>
      <c r="E8" s="123">
        <v>136</v>
      </c>
      <c r="F8" s="123"/>
    </row>
    <row r="9" spans="1:6">
      <c r="A9" s="120">
        <v>5201407</v>
      </c>
      <c r="B9" s="121">
        <v>136</v>
      </c>
      <c r="C9" s="121"/>
      <c r="D9" s="120">
        <v>5201407</v>
      </c>
      <c r="E9" s="121">
        <v>136</v>
      </c>
      <c r="F9" s="121"/>
    </row>
    <row r="10" spans="1:6">
      <c r="A10" s="103">
        <v>5301371</v>
      </c>
      <c r="B10" s="104">
        <v>105</v>
      </c>
      <c r="C10" s="104"/>
      <c r="D10" s="103">
        <v>5301371</v>
      </c>
      <c r="E10" s="104">
        <v>105</v>
      </c>
      <c r="F10" s="104"/>
    </row>
    <row r="11" spans="1:6">
      <c r="A11" s="120">
        <v>5201406</v>
      </c>
      <c r="B11" s="121">
        <v>100</v>
      </c>
      <c r="C11" s="121"/>
      <c r="D11" s="120">
        <v>5201406</v>
      </c>
      <c r="E11" s="121">
        <v>100</v>
      </c>
      <c r="F11" s="121"/>
    </row>
    <row r="12" spans="1:6">
      <c r="A12" s="120">
        <v>5201406</v>
      </c>
      <c r="B12" s="121">
        <v>100</v>
      </c>
      <c r="C12" s="121"/>
      <c r="D12" s="122">
        <v>5301413</v>
      </c>
      <c r="E12" s="123">
        <v>100</v>
      </c>
      <c r="F12" s="123"/>
    </row>
    <row r="13" spans="1:6">
      <c r="A13" s="109">
        <v>5301409</v>
      </c>
      <c r="B13" s="110">
        <v>160</v>
      </c>
      <c r="C13" s="110"/>
      <c r="D13" s="124">
        <v>5301404</v>
      </c>
      <c r="E13" s="125">
        <v>120</v>
      </c>
      <c r="F13" s="125"/>
    </row>
    <row r="14" spans="1:6">
      <c r="A14" s="103">
        <v>5301410</v>
      </c>
      <c r="B14" s="104">
        <v>160</v>
      </c>
      <c r="C14" s="104"/>
      <c r="D14" s="103">
        <v>5301410</v>
      </c>
      <c r="E14" s="104">
        <v>160</v>
      </c>
      <c r="F14" s="104"/>
    </row>
    <row r="15" spans="1:6">
      <c r="A15" s="120">
        <v>5201406</v>
      </c>
      <c r="B15" s="121">
        <v>100</v>
      </c>
      <c r="C15" s="121"/>
      <c r="D15" s="120">
        <v>5201406</v>
      </c>
      <c r="E15" s="121">
        <v>100</v>
      </c>
      <c r="F15" s="121"/>
    </row>
    <row r="16" spans="1:6">
      <c r="A16" s="120">
        <v>5201406</v>
      </c>
      <c r="B16" s="121">
        <v>100</v>
      </c>
      <c r="C16" s="110"/>
      <c r="D16" s="109">
        <v>5301413</v>
      </c>
      <c r="E16" s="110">
        <v>100</v>
      </c>
      <c r="F16" s="110"/>
    </row>
    <row r="17" spans="1:21">
      <c r="A17" s="103">
        <v>5301371</v>
      </c>
      <c r="B17" s="104">
        <v>105</v>
      </c>
      <c r="C17" s="104"/>
      <c r="D17" s="103">
        <v>5301371</v>
      </c>
      <c r="E17" s="104">
        <v>105</v>
      </c>
      <c r="F17" s="104"/>
    </row>
    <row r="18" spans="1:21">
      <c r="A18" s="120">
        <v>5201407</v>
      </c>
      <c r="B18" s="121">
        <v>136</v>
      </c>
      <c r="C18" s="121"/>
      <c r="D18" s="120">
        <v>5201407</v>
      </c>
      <c r="E18" s="121">
        <v>136</v>
      </c>
      <c r="F18" s="121"/>
    </row>
    <row r="19" spans="1:21">
      <c r="A19" s="120">
        <v>5201407</v>
      </c>
      <c r="B19" s="121">
        <v>136</v>
      </c>
      <c r="C19" s="126"/>
      <c r="D19" s="127"/>
      <c r="E19" s="126"/>
      <c r="F19" s="126"/>
    </row>
    <row r="22" spans="1:21">
      <c r="A22" s="173" t="s">
        <v>167</v>
      </c>
      <c r="B22" s="173"/>
      <c r="C22" s="173"/>
      <c r="D22" s="173"/>
      <c r="E22" s="173"/>
      <c r="F22" s="173"/>
    </row>
    <row r="23" spans="1:21">
      <c r="A23" s="184" t="s">
        <v>109</v>
      </c>
      <c r="B23" s="184"/>
      <c r="C23" s="184"/>
      <c r="D23" s="184"/>
      <c r="E23" s="184"/>
      <c r="F23" s="184"/>
    </row>
    <row r="24" spans="1:21">
      <c r="A24" s="184" t="s">
        <v>171</v>
      </c>
      <c r="B24" s="184"/>
      <c r="C24" s="184"/>
      <c r="D24" s="184" t="s">
        <v>169</v>
      </c>
      <c r="E24" s="184"/>
      <c r="F24" s="184"/>
    </row>
    <row r="25" spans="1:21">
      <c r="A25" s="184" t="s">
        <v>110</v>
      </c>
      <c r="B25" s="184"/>
      <c r="C25" s="184"/>
      <c r="D25" s="184" t="s">
        <v>111</v>
      </c>
      <c r="E25" s="184"/>
      <c r="F25" s="184"/>
    </row>
    <row r="26" spans="1:21" ht="36">
      <c r="A26" s="117" t="s">
        <v>114</v>
      </c>
      <c r="B26" s="118" t="s">
        <v>115</v>
      </c>
      <c r="C26" s="118" t="s">
        <v>172</v>
      </c>
      <c r="D26" s="117" t="s">
        <v>114</v>
      </c>
      <c r="E26" s="118" t="s">
        <v>115</v>
      </c>
      <c r="F26" s="118" t="s">
        <v>172</v>
      </c>
    </row>
    <row r="27" spans="1:21">
      <c r="A27" s="128">
        <v>5301404</v>
      </c>
      <c r="B27" s="129">
        <v>120</v>
      </c>
      <c r="C27" s="129"/>
      <c r="D27" s="122">
        <v>5301409</v>
      </c>
      <c r="E27" s="123">
        <v>160</v>
      </c>
      <c r="F27" s="123"/>
    </row>
    <row r="28" spans="1:21">
      <c r="A28" s="100">
        <v>5201406</v>
      </c>
      <c r="B28" s="101">
        <v>100</v>
      </c>
      <c r="C28" s="101"/>
      <c r="D28" s="100">
        <v>5201406</v>
      </c>
      <c r="E28" s="101">
        <v>100</v>
      </c>
      <c r="F28" s="101"/>
    </row>
    <row r="29" spans="1:21" s="46" customFormat="1">
      <c r="A29" s="128">
        <v>5301413</v>
      </c>
      <c r="B29" s="129">
        <v>100</v>
      </c>
      <c r="C29" s="129"/>
      <c r="D29" s="122">
        <v>5201406</v>
      </c>
      <c r="E29" s="123">
        <v>100</v>
      </c>
      <c r="F29" s="123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30"/>
      <c r="T29" s="130"/>
      <c r="U29" s="130"/>
    </row>
    <row r="30" spans="1:21" s="46" customFormat="1">
      <c r="A30" s="100">
        <v>5202424</v>
      </c>
      <c r="B30" s="101">
        <v>120</v>
      </c>
      <c r="C30" s="101"/>
      <c r="D30" s="100">
        <v>5202424</v>
      </c>
      <c r="E30" s="101">
        <v>120</v>
      </c>
      <c r="F30" s="101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30"/>
      <c r="T30" s="130"/>
      <c r="U30" s="130"/>
    </row>
    <row r="31" spans="1:21" s="46" customFormat="1">
      <c r="A31" s="128">
        <v>3168757</v>
      </c>
      <c r="B31" s="129">
        <v>93</v>
      </c>
      <c r="C31" s="129"/>
      <c r="D31" s="128">
        <v>3168757</v>
      </c>
      <c r="E31" s="129">
        <v>93</v>
      </c>
      <c r="F31" s="12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30"/>
      <c r="T31" s="130"/>
      <c r="U31" s="130"/>
    </row>
    <row r="32" spans="1:21" s="46" customFormat="1">
      <c r="A32" s="122">
        <v>5301010</v>
      </c>
      <c r="B32" s="123">
        <v>40</v>
      </c>
      <c r="C32" s="123"/>
      <c r="D32" s="100">
        <v>5201407</v>
      </c>
      <c r="E32" s="101">
        <v>136</v>
      </c>
      <c r="F32" s="101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30"/>
      <c r="T32" s="130"/>
      <c r="U32" s="130"/>
    </row>
    <row r="33" spans="1:21" s="46" customFormat="1">
      <c r="A33" s="100">
        <v>5201407</v>
      </c>
      <c r="B33" s="101">
        <v>136</v>
      </c>
      <c r="C33" s="101"/>
      <c r="D33" s="100">
        <v>5201407</v>
      </c>
      <c r="E33" s="101">
        <v>136</v>
      </c>
      <c r="F33" s="101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30"/>
      <c r="T33" s="130"/>
      <c r="U33" s="130"/>
    </row>
    <row r="34" spans="1:21" s="46" customFormat="1">
      <c r="A34" s="128">
        <v>5301371</v>
      </c>
      <c r="B34" s="129">
        <v>105</v>
      </c>
      <c r="C34" s="129"/>
      <c r="D34" s="128">
        <v>5301371</v>
      </c>
      <c r="E34" s="129">
        <v>105</v>
      </c>
      <c r="F34" s="12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30"/>
      <c r="T34" s="130"/>
      <c r="U34" s="130"/>
    </row>
    <row r="35" spans="1:21" s="46" customFormat="1">
      <c r="A35" s="122">
        <v>5301410</v>
      </c>
      <c r="B35" s="123">
        <v>160</v>
      </c>
      <c r="C35" s="123"/>
      <c r="D35" s="122">
        <v>5301410</v>
      </c>
      <c r="E35" s="123">
        <v>160</v>
      </c>
      <c r="F35" s="123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30"/>
      <c r="T35" s="130"/>
      <c r="U35" s="130"/>
    </row>
    <row r="36" spans="1:21" s="46" customFormat="1">
      <c r="A36" s="128">
        <v>5202067</v>
      </c>
      <c r="B36" s="129">
        <v>124</v>
      </c>
      <c r="C36" s="129"/>
      <c r="D36" s="128">
        <v>5202067</v>
      </c>
      <c r="E36" s="129">
        <v>124</v>
      </c>
      <c r="F36" s="12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30"/>
      <c r="T36" s="130"/>
      <c r="U36" s="130"/>
    </row>
    <row r="37" spans="1:21" s="46" customFormat="1">
      <c r="A37" s="100">
        <v>5201406</v>
      </c>
      <c r="B37" s="101">
        <v>100</v>
      </c>
      <c r="C37" s="101"/>
      <c r="D37" s="100">
        <v>5201406</v>
      </c>
      <c r="E37" s="101">
        <v>100</v>
      </c>
      <c r="F37" s="101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30"/>
      <c r="T37" s="130"/>
      <c r="U37" s="130"/>
    </row>
    <row r="38" spans="1:21" s="46" customFormat="1">
      <c r="A38" s="128">
        <v>5301413</v>
      </c>
      <c r="B38" s="129">
        <v>100</v>
      </c>
      <c r="C38" s="129"/>
      <c r="D38" s="100">
        <v>5201406</v>
      </c>
      <c r="E38" s="101">
        <v>100</v>
      </c>
      <c r="F38" s="101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30"/>
      <c r="T38" s="130"/>
      <c r="U38" s="130"/>
    </row>
    <row r="39" spans="1:21" s="46" customFormat="1">
      <c r="A39" s="109">
        <v>3375298</v>
      </c>
      <c r="B39" s="110">
        <v>124</v>
      </c>
      <c r="C39" s="110"/>
      <c r="D39" s="131">
        <v>5302431</v>
      </c>
      <c r="E39" s="132">
        <v>25</v>
      </c>
      <c r="F39" s="132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30"/>
      <c r="T39" s="130"/>
      <c r="U39" s="130"/>
    </row>
    <row r="40" spans="1:21" s="46" customFormat="1">
      <c r="A40" s="128">
        <v>5301404</v>
      </c>
      <c r="B40" s="129">
        <v>120</v>
      </c>
      <c r="C40" s="129"/>
      <c r="D40" s="122">
        <v>5305218</v>
      </c>
      <c r="E40" s="123">
        <v>160</v>
      </c>
      <c r="F40" s="123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30"/>
      <c r="T40" s="130"/>
      <c r="U40" s="130"/>
    </row>
    <row r="41" spans="1:21" s="46" customFormat="1">
      <c r="A41" s="100">
        <v>5202067</v>
      </c>
      <c r="B41" s="101">
        <v>124</v>
      </c>
      <c r="C41" s="101"/>
      <c r="D41" s="100">
        <v>5202067</v>
      </c>
      <c r="E41" s="101">
        <v>124</v>
      </c>
      <c r="F41" s="101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30"/>
      <c r="T41" s="130"/>
      <c r="U41" s="130"/>
    </row>
    <row r="42" spans="1:21" s="46" customFormat="1">
      <c r="A42" s="128">
        <v>5301371</v>
      </c>
      <c r="B42" s="129">
        <v>105</v>
      </c>
      <c r="C42" s="129"/>
      <c r="D42" s="128">
        <v>5301371</v>
      </c>
      <c r="E42" s="129">
        <v>105</v>
      </c>
      <c r="F42" s="12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30"/>
      <c r="T42" s="130"/>
      <c r="U42" s="130"/>
    </row>
    <row r="43" spans="1:21" s="46" customFormat="1">
      <c r="A43" s="100">
        <v>5201407</v>
      </c>
      <c r="B43" s="101">
        <v>136</v>
      </c>
      <c r="C43" s="101"/>
      <c r="D43" s="100">
        <v>5201407</v>
      </c>
      <c r="E43" s="101">
        <v>136</v>
      </c>
      <c r="F43" s="101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30"/>
      <c r="U43" s="130"/>
    </row>
    <row r="44" spans="1:21" s="46" customFormat="1">
      <c r="A44" s="128">
        <v>5301413</v>
      </c>
      <c r="B44" s="129">
        <v>100</v>
      </c>
      <c r="C44" s="129"/>
      <c r="D44" s="100">
        <v>5201407</v>
      </c>
      <c r="E44" s="101">
        <v>136</v>
      </c>
      <c r="F44" s="101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30"/>
      <c r="U44" s="130"/>
    </row>
    <row r="45" spans="1:21" s="46" customFormat="1">
      <c r="A45" s="122">
        <v>5201406</v>
      </c>
      <c r="B45" s="123">
        <v>100</v>
      </c>
      <c r="C45" s="123"/>
      <c r="D45" s="122">
        <v>5201406</v>
      </c>
      <c r="E45" s="123">
        <v>100</v>
      </c>
      <c r="F45" s="123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30"/>
      <c r="U45" s="130"/>
    </row>
    <row r="46" spans="1:21" s="46" customFormat="1">
      <c r="A46" s="128">
        <v>5202137</v>
      </c>
      <c r="B46" s="129">
        <v>104</v>
      </c>
      <c r="C46" s="129"/>
      <c r="D46" s="122">
        <v>5201406</v>
      </c>
      <c r="E46" s="123">
        <v>100</v>
      </c>
      <c r="F46" s="123"/>
      <c r="G46" s="130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30"/>
      <c r="U46" s="130"/>
    </row>
    <row r="47" spans="1:21" s="46" customFormat="1">
      <c r="A47" s="100">
        <v>5202137</v>
      </c>
      <c r="B47" s="101">
        <v>104</v>
      </c>
      <c r="C47" s="101"/>
      <c r="D47" s="131">
        <v>5301404</v>
      </c>
      <c r="E47" s="132">
        <v>120</v>
      </c>
      <c r="F47" s="132"/>
      <c r="G47" s="130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30"/>
      <c r="U47" s="130"/>
    </row>
    <row r="48" spans="1:21" s="46" customFormat="1">
      <c r="A48" s="109">
        <v>5301409</v>
      </c>
      <c r="B48" s="110">
        <v>160</v>
      </c>
      <c r="C48" s="110"/>
      <c r="D48" s="128">
        <v>5202139</v>
      </c>
      <c r="E48" s="129">
        <v>112</v>
      </c>
      <c r="F48" s="12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30"/>
      <c r="U48" s="130"/>
    </row>
    <row r="49" spans="1:21" s="46" customFormat="1">
      <c r="A49" s="122">
        <v>5202135</v>
      </c>
      <c r="B49" s="123">
        <v>124</v>
      </c>
      <c r="C49" s="123"/>
      <c r="D49" s="100">
        <v>5202139</v>
      </c>
      <c r="E49" s="101">
        <v>112</v>
      </c>
      <c r="F49" s="101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30"/>
      <c r="U49" s="130"/>
    </row>
    <row r="50" spans="1:21" s="46" customFormat="1">
      <c r="A50" s="122">
        <v>5202135</v>
      </c>
      <c r="B50" s="123">
        <v>124</v>
      </c>
      <c r="C50" s="123"/>
      <c r="D50" s="128">
        <v>5202141</v>
      </c>
      <c r="E50" s="129">
        <v>32</v>
      </c>
      <c r="F50" s="12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30"/>
      <c r="U50" s="130"/>
    </row>
    <row r="51" spans="1:21" s="46" customFormat="1">
      <c r="A51" s="127"/>
      <c r="B51" s="126"/>
      <c r="C51" s="126"/>
      <c r="D51" s="128">
        <v>5202141</v>
      </c>
      <c r="E51" s="129">
        <v>32</v>
      </c>
      <c r="F51" s="12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30"/>
      <c r="U51" s="130"/>
    </row>
    <row r="52" spans="1:21" s="46" customForma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30"/>
      <c r="O52" s="130"/>
      <c r="P52" s="130"/>
      <c r="Q52" s="130"/>
      <c r="R52" s="130"/>
      <c r="S52" s="130"/>
      <c r="T52" s="130"/>
      <c r="U52" s="130"/>
    </row>
    <row r="53" spans="1:21" s="46" customForma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30"/>
      <c r="O53" s="130"/>
      <c r="P53" s="130"/>
      <c r="Q53" s="130"/>
      <c r="R53" s="130"/>
      <c r="S53" s="130"/>
      <c r="T53" s="130"/>
      <c r="U53" s="130"/>
    </row>
    <row r="54" spans="1:21" s="46" customFormat="1">
      <c r="A54" s="173" t="s">
        <v>167</v>
      </c>
      <c r="B54" s="173"/>
      <c r="C54" s="173"/>
      <c r="D54" s="173"/>
      <c r="E54" s="173"/>
      <c r="F54" s="173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30"/>
      <c r="U54" s="130"/>
    </row>
    <row r="55" spans="1:21" s="46" customFormat="1">
      <c r="A55" s="184" t="s">
        <v>109</v>
      </c>
      <c r="B55" s="184"/>
      <c r="C55" s="184"/>
      <c r="D55" s="184"/>
      <c r="E55" s="184"/>
      <c r="F55" s="184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30"/>
      <c r="U55" s="130"/>
    </row>
    <row r="56" spans="1:21" s="46" customFormat="1">
      <c r="A56" s="184" t="s">
        <v>170</v>
      </c>
      <c r="B56" s="184"/>
      <c r="C56" s="184"/>
      <c r="D56" s="184" t="s">
        <v>169</v>
      </c>
      <c r="E56" s="184"/>
      <c r="F56" s="184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30"/>
      <c r="U56" s="130"/>
    </row>
    <row r="57" spans="1:21" s="46" customFormat="1">
      <c r="A57" s="184" t="s">
        <v>110</v>
      </c>
      <c r="B57" s="184"/>
      <c r="C57" s="184"/>
      <c r="D57" s="184" t="s">
        <v>111</v>
      </c>
      <c r="E57" s="184"/>
      <c r="F57" s="184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30"/>
      <c r="U57" s="130"/>
    </row>
    <row r="58" spans="1:21" s="46" customFormat="1" ht="36">
      <c r="A58" s="117" t="s">
        <v>114</v>
      </c>
      <c r="B58" s="118" t="s">
        <v>115</v>
      </c>
      <c r="C58" s="118" t="s">
        <v>172</v>
      </c>
      <c r="D58" s="117" t="s">
        <v>114</v>
      </c>
      <c r="E58" s="118" t="s">
        <v>115</v>
      </c>
      <c r="F58" s="118" t="s">
        <v>172</v>
      </c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30"/>
      <c r="U58" s="130"/>
    </row>
    <row r="59" spans="1:21" s="46" customFormat="1">
      <c r="A59" s="103">
        <v>5201406</v>
      </c>
      <c r="B59" s="104">
        <v>100</v>
      </c>
      <c r="C59" s="104"/>
      <c r="D59" s="103">
        <v>5201406</v>
      </c>
      <c r="E59" s="104">
        <v>100</v>
      </c>
      <c r="F59" s="104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30"/>
      <c r="U59" s="130"/>
    </row>
    <row r="60" spans="1:21" s="46" customFormat="1">
      <c r="A60" s="100">
        <v>5301413</v>
      </c>
      <c r="B60" s="101">
        <v>100</v>
      </c>
      <c r="C60" s="101"/>
      <c r="D60" s="103">
        <v>5201406</v>
      </c>
      <c r="E60" s="104">
        <v>100</v>
      </c>
      <c r="F60" s="104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30"/>
      <c r="U60" s="130"/>
    </row>
    <row r="61" spans="1:21" s="46" customFormat="1">
      <c r="A61" s="106">
        <v>5202178</v>
      </c>
      <c r="B61" s="107">
        <v>35</v>
      </c>
      <c r="C61" s="107"/>
      <c r="D61" s="106">
        <v>5202178</v>
      </c>
      <c r="E61" s="107">
        <v>35</v>
      </c>
      <c r="F61" s="107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30"/>
      <c r="U61" s="130"/>
    </row>
    <row r="62" spans="1:21" s="46" customFormat="1">
      <c r="A62" s="106">
        <v>5202178</v>
      </c>
      <c r="B62" s="107">
        <v>35</v>
      </c>
      <c r="C62" s="107"/>
      <c r="D62" s="106">
        <v>5202178</v>
      </c>
      <c r="E62" s="107">
        <v>35</v>
      </c>
      <c r="F62" s="107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30"/>
      <c r="U62" s="130"/>
    </row>
    <row r="63" spans="1:21" s="46" customFormat="1">
      <c r="A63" s="103">
        <v>5301456</v>
      </c>
      <c r="B63" s="104">
        <v>35</v>
      </c>
      <c r="C63" s="104"/>
      <c r="D63" s="133">
        <v>5301486</v>
      </c>
      <c r="E63" s="134">
        <v>36</v>
      </c>
      <c r="F63" s="134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30"/>
      <c r="U63" s="130"/>
    </row>
    <row r="64" spans="1:21" s="46" customFormat="1">
      <c r="A64" s="100">
        <v>5301371</v>
      </c>
      <c r="B64" s="101">
        <v>105</v>
      </c>
      <c r="C64" s="101"/>
      <c r="D64" s="100">
        <v>5301371</v>
      </c>
      <c r="E64" s="101">
        <v>105</v>
      </c>
      <c r="F64" s="101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30"/>
      <c r="U64" s="130"/>
    </row>
    <row r="65" spans="1:21" s="46" customFormat="1">
      <c r="A65" s="103">
        <v>5301410</v>
      </c>
      <c r="B65" s="104">
        <v>160</v>
      </c>
      <c r="C65" s="104"/>
      <c r="D65" s="103">
        <v>5301410</v>
      </c>
      <c r="E65" s="104">
        <v>160</v>
      </c>
      <c r="F65" s="104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30"/>
      <c r="U65" s="130"/>
    </row>
    <row r="66" spans="1:21" s="46" customFormat="1">
      <c r="A66" s="100">
        <v>5201407</v>
      </c>
      <c r="B66" s="101">
        <v>136</v>
      </c>
      <c r="C66" s="101"/>
      <c r="D66" s="100">
        <v>5201407</v>
      </c>
      <c r="E66" s="101">
        <v>136</v>
      </c>
      <c r="F66" s="101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30"/>
      <c r="U66" s="130"/>
    </row>
    <row r="67" spans="1:21" s="46" customFormat="1">
      <c r="A67" s="103">
        <v>5301010</v>
      </c>
      <c r="B67" s="104">
        <v>40</v>
      </c>
      <c r="C67" s="104"/>
      <c r="D67" s="100">
        <v>5201407</v>
      </c>
      <c r="E67" s="101">
        <v>136</v>
      </c>
      <c r="F67" s="101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30"/>
      <c r="U67" s="130"/>
    </row>
    <row r="68" spans="1:21" s="46" customFormat="1">
      <c r="A68" s="106">
        <v>5301410</v>
      </c>
      <c r="B68" s="107">
        <v>160</v>
      </c>
      <c r="C68" s="107"/>
      <c r="D68" s="106">
        <v>5301410</v>
      </c>
      <c r="E68" s="107">
        <v>160</v>
      </c>
      <c r="F68" s="107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30"/>
      <c r="U68" s="130"/>
    </row>
    <row r="69" spans="1:21" s="46" customFormat="1">
      <c r="A69" s="103">
        <v>3375298</v>
      </c>
      <c r="B69" s="104">
        <v>124</v>
      </c>
      <c r="C69" s="104"/>
      <c r="D69" s="133">
        <v>3373351</v>
      </c>
      <c r="E69" s="134">
        <v>40</v>
      </c>
      <c r="F69" s="134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30"/>
      <c r="U69" s="130"/>
    </row>
    <row r="70" spans="1:21" s="46" customFormat="1">
      <c r="A70" s="100">
        <v>5201406</v>
      </c>
      <c r="B70" s="101">
        <v>100</v>
      </c>
      <c r="C70" s="101"/>
      <c r="D70" s="100">
        <v>5201406</v>
      </c>
      <c r="E70" s="101">
        <v>100</v>
      </c>
      <c r="F70" s="101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30"/>
      <c r="U70" s="130"/>
    </row>
    <row r="71" spans="1:21" s="46" customFormat="1">
      <c r="A71" s="103">
        <v>5301413</v>
      </c>
      <c r="B71" s="104">
        <v>100</v>
      </c>
      <c r="C71" s="104"/>
      <c r="D71" s="100">
        <v>5201406</v>
      </c>
      <c r="E71" s="101">
        <v>100</v>
      </c>
      <c r="F71" s="101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30"/>
      <c r="U71" s="130"/>
    </row>
    <row r="72" spans="1:21" s="46" customFormat="1">
      <c r="A72" s="106">
        <v>5301409</v>
      </c>
      <c r="B72" s="107">
        <v>160</v>
      </c>
      <c r="C72" s="107"/>
      <c r="D72" s="133">
        <v>5301552</v>
      </c>
      <c r="E72" s="134">
        <v>40</v>
      </c>
      <c r="F72" s="134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30"/>
      <c r="U72" s="130"/>
    </row>
    <row r="73" spans="1:21" s="46" customFormat="1">
      <c r="A73" s="103">
        <v>3168757</v>
      </c>
      <c r="B73" s="104">
        <v>93</v>
      </c>
      <c r="C73" s="104"/>
      <c r="D73" s="103">
        <v>3168757</v>
      </c>
      <c r="E73" s="104">
        <v>93</v>
      </c>
      <c r="F73" s="104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30"/>
      <c r="U73" s="130"/>
    </row>
    <row r="74" spans="1:21" s="46" customFormat="1">
      <c r="A74" s="100">
        <v>3374088</v>
      </c>
      <c r="B74" s="101">
        <v>55</v>
      </c>
      <c r="C74" s="101"/>
      <c r="D74" s="100">
        <v>3374088</v>
      </c>
      <c r="E74" s="101">
        <v>55</v>
      </c>
      <c r="F74" s="101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30"/>
      <c r="U74" s="130"/>
    </row>
    <row r="75" spans="1:21" s="46" customFormat="1">
      <c r="A75" s="103">
        <v>3168470</v>
      </c>
      <c r="B75" s="104">
        <v>43</v>
      </c>
      <c r="C75" s="104"/>
      <c r="D75" s="103">
        <v>3168470</v>
      </c>
      <c r="E75" s="104">
        <v>43</v>
      </c>
      <c r="F75" s="104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30"/>
      <c r="U75" s="130"/>
    </row>
    <row r="76" spans="1:21" s="46" customFormat="1">
      <c r="A76" s="100">
        <v>3168634</v>
      </c>
      <c r="B76" s="101">
        <v>50</v>
      </c>
      <c r="C76" s="101"/>
      <c r="D76" s="100">
        <v>3168634</v>
      </c>
      <c r="E76" s="101">
        <v>50</v>
      </c>
      <c r="F76" s="101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30"/>
      <c r="U76" s="130"/>
    </row>
    <row r="77" spans="1:21" s="46" customFormat="1">
      <c r="A77" s="103">
        <v>5301549</v>
      </c>
      <c r="B77" s="104">
        <v>59</v>
      </c>
      <c r="C77" s="104"/>
      <c r="D77" s="100">
        <v>3168634</v>
      </c>
      <c r="E77" s="101">
        <v>50</v>
      </c>
      <c r="F77" s="101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30"/>
      <c r="U77" s="130"/>
    </row>
    <row r="78" spans="1:21" s="46" customFormat="1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30"/>
      <c r="U78" s="130"/>
    </row>
    <row r="79" spans="1:21" s="46" customFormat="1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30"/>
      <c r="U79" s="130"/>
    </row>
    <row r="80" spans="1:21" s="46" customFormat="1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30"/>
      <c r="U80" s="130"/>
    </row>
    <row r="81" spans="1:31" s="46" customFormat="1">
      <c r="A81" s="173" t="s">
        <v>167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19"/>
      <c r="N81" s="119"/>
      <c r="O81" s="119"/>
      <c r="P81" s="119"/>
      <c r="Q81" s="119"/>
      <c r="R81" s="119"/>
      <c r="S81" s="119"/>
      <c r="T81" s="119"/>
      <c r="U81" s="119"/>
      <c r="V81" s="60"/>
    </row>
    <row r="82" spans="1:31" s="46" customFormat="1">
      <c r="A82" s="178" t="s">
        <v>178</v>
      </c>
      <c r="B82" s="179"/>
      <c r="C82" s="179"/>
      <c r="D82" s="179"/>
      <c r="E82" s="179"/>
      <c r="F82" s="179"/>
      <c r="G82" s="179"/>
      <c r="H82" s="179"/>
      <c r="I82" s="179"/>
      <c r="J82" s="179"/>
      <c r="K82" s="179"/>
      <c r="L82" s="180"/>
      <c r="M82" s="119"/>
      <c r="N82" s="119"/>
      <c r="O82" s="119"/>
      <c r="P82" s="119"/>
      <c r="Q82" s="119"/>
      <c r="R82" s="119"/>
      <c r="S82" s="119"/>
      <c r="T82" s="119"/>
      <c r="U82" s="119"/>
      <c r="V82" s="60"/>
    </row>
    <row r="83" spans="1:31" s="46" customFormat="1">
      <c r="A83" s="174" t="s">
        <v>168</v>
      </c>
      <c r="B83" s="174"/>
      <c r="C83" s="174"/>
      <c r="D83" s="174"/>
      <c r="E83" s="174"/>
      <c r="F83" s="174"/>
      <c r="G83" s="174" t="s">
        <v>169</v>
      </c>
      <c r="H83" s="174"/>
      <c r="I83" s="174"/>
      <c r="J83" s="174"/>
      <c r="K83" s="174"/>
      <c r="L83" s="174"/>
      <c r="M83" s="119"/>
      <c r="N83" s="119"/>
      <c r="O83" s="119"/>
      <c r="P83" s="119"/>
      <c r="Q83" s="119"/>
      <c r="R83" s="119"/>
      <c r="S83" s="119"/>
      <c r="T83" s="119"/>
      <c r="U83" s="119"/>
      <c r="V83" s="60"/>
    </row>
    <row r="84" spans="1:31" s="46" customFormat="1">
      <c r="A84" s="174" t="s">
        <v>110</v>
      </c>
      <c r="B84" s="174"/>
      <c r="C84" s="174"/>
      <c r="D84" s="174" t="s">
        <v>111</v>
      </c>
      <c r="E84" s="174"/>
      <c r="F84" s="174"/>
      <c r="G84" s="174" t="s">
        <v>112</v>
      </c>
      <c r="H84" s="174"/>
      <c r="I84" s="174"/>
      <c r="J84" s="174" t="s">
        <v>113</v>
      </c>
      <c r="K84" s="174"/>
      <c r="L84" s="174"/>
      <c r="M84" s="119"/>
      <c r="N84" s="119"/>
      <c r="O84" s="119"/>
      <c r="P84" s="119"/>
      <c r="Q84" s="119"/>
      <c r="R84" s="119"/>
      <c r="S84" s="119"/>
      <c r="T84" s="119"/>
      <c r="U84" s="119"/>
      <c r="V84" s="60"/>
    </row>
    <row r="85" spans="1:31" s="46" customFormat="1" ht="36">
      <c r="A85" s="117" t="s">
        <v>114</v>
      </c>
      <c r="B85" s="118" t="s">
        <v>115</v>
      </c>
      <c r="C85" s="118" t="s">
        <v>172</v>
      </c>
      <c r="D85" s="117" t="s">
        <v>114</v>
      </c>
      <c r="E85" s="118" t="s">
        <v>115</v>
      </c>
      <c r="F85" s="118" t="s">
        <v>172</v>
      </c>
      <c r="G85" s="117" t="s">
        <v>114</v>
      </c>
      <c r="H85" s="118" t="s">
        <v>115</v>
      </c>
      <c r="I85" s="118" t="s">
        <v>172</v>
      </c>
      <c r="J85" s="117" t="s">
        <v>114</v>
      </c>
      <c r="K85" s="118" t="s">
        <v>115</v>
      </c>
      <c r="L85" s="118" t="s">
        <v>172</v>
      </c>
      <c r="M85" s="119"/>
      <c r="N85" s="119"/>
      <c r="O85" s="119"/>
      <c r="P85" s="119"/>
      <c r="Q85" s="119"/>
      <c r="R85" s="119"/>
      <c r="S85" s="119"/>
      <c r="T85" s="119"/>
      <c r="U85" s="119"/>
      <c r="V85" s="60"/>
    </row>
    <row r="86" spans="1:31" s="46" customFormat="1">
      <c r="A86" s="100">
        <v>3378884</v>
      </c>
      <c r="B86" s="101">
        <v>130</v>
      </c>
      <c r="C86" s="101"/>
      <c r="D86" s="100">
        <v>3378884</v>
      </c>
      <c r="E86" s="101">
        <v>130</v>
      </c>
      <c r="F86" s="101"/>
      <c r="G86" s="100">
        <v>3378884</v>
      </c>
      <c r="H86" s="101">
        <v>130</v>
      </c>
      <c r="I86" s="101"/>
      <c r="J86" s="122">
        <v>5303041</v>
      </c>
      <c r="K86" s="123">
        <v>120</v>
      </c>
      <c r="L86" s="123"/>
      <c r="M86" s="119"/>
      <c r="N86" s="119"/>
      <c r="O86" s="119"/>
      <c r="P86" s="119"/>
      <c r="Q86" s="119"/>
      <c r="R86" s="119"/>
      <c r="S86" s="119"/>
      <c r="T86" s="119"/>
      <c r="U86" s="119"/>
      <c r="V86" s="60"/>
    </row>
    <row r="87" spans="1:31" s="46" customFormat="1">
      <c r="A87" s="103">
        <v>5303035</v>
      </c>
      <c r="B87" s="104">
        <v>105</v>
      </c>
      <c r="C87" s="104"/>
      <c r="D87" s="103">
        <v>5303035</v>
      </c>
      <c r="E87" s="104">
        <v>105</v>
      </c>
      <c r="F87" s="104"/>
      <c r="G87" s="109">
        <v>5203831</v>
      </c>
      <c r="H87" s="110">
        <v>135</v>
      </c>
      <c r="I87" s="110"/>
      <c r="J87" s="106">
        <v>5303039</v>
      </c>
      <c r="K87" s="107">
        <v>100</v>
      </c>
      <c r="L87" s="107"/>
      <c r="M87" s="119"/>
      <c r="N87" s="119"/>
      <c r="O87" s="119"/>
      <c r="P87" s="119"/>
      <c r="Q87" s="119"/>
      <c r="R87" s="119"/>
      <c r="S87" s="119"/>
      <c r="T87" s="119"/>
      <c r="U87" s="119"/>
      <c r="V87" s="60"/>
    </row>
    <row r="88" spans="1:31" s="46" customFormat="1">
      <c r="A88" s="100">
        <v>5303107</v>
      </c>
      <c r="B88" s="101">
        <v>120</v>
      </c>
      <c r="C88" s="101"/>
      <c r="D88" s="100">
        <v>5303107</v>
      </c>
      <c r="E88" s="101">
        <v>120</v>
      </c>
      <c r="F88" s="101"/>
      <c r="G88" s="135">
        <v>5303108</v>
      </c>
      <c r="H88" s="136">
        <v>105</v>
      </c>
      <c r="I88" s="136"/>
      <c r="J88" s="135">
        <v>5303108</v>
      </c>
      <c r="K88" s="136">
        <v>105</v>
      </c>
      <c r="L88" s="136"/>
      <c r="M88" s="119"/>
      <c r="N88" s="119"/>
      <c r="O88" s="119"/>
      <c r="P88" s="119"/>
      <c r="Q88" s="119"/>
      <c r="R88" s="119"/>
      <c r="S88" s="119"/>
      <c r="T88" s="119"/>
      <c r="U88" s="119"/>
      <c r="V88" s="60"/>
      <c r="W88" s="60"/>
      <c r="X88" s="60"/>
      <c r="Y88" s="60"/>
    </row>
    <row r="89" spans="1:31" s="46" customFormat="1">
      <c r="A89" s="103">
        <v>3378884</v>
      </c>
      <c r="B89" s="104">
        <v>130</v>
      </c>
      <c r="C89" s="104"/>
      <c r="D89" s="103">
        <v>3378884</v>
      </c>
      <c r="E89" s="104">
        <v>130</v>
      </c>
      <c r="F89" s="104"/>
      <c r="G89" s="103">
        <v>3378884</v>
      </c>
      <c r="H89" s="104">
        <v>130</v>
      </c>
      <c r="I89" s="104"/>
      <c r="J89" s="109">
        <v>5303041</v>
      </c>
      <c r="K89" s="110">
        <v>120</v>
      </c>
      <c r="L89" s="110"/>
      <c r="M89" s="119"/>
      <c r="N89" s="119"/>
      <c r="O89" s="119"/>
      <c r="P89" s="119"/>
      <c r="Q89" s="119"/>
      <c r="R89" s="119"/>
      <c r="S89" s="119"/>
      <c r="T89" s="119"/>
      <c r="U89" s="119"/>
      <c r="V89" s="60"/>
      <c r="W89" s="60"/>
      <c r="X89" s="60"/>
      <c r="Y89" s="60"/>
      <c r="Z89" s="60"/>
      <c r="AA89" s="60"/>
      <c r="AB89" s="60"/>
      <c r="AC89" s="60"/>
      <c r="AD89" s="60"/>
      <c r="AE89" s="60"/>
    </row>
    <row r="90" spans="1:31" s="46" customFormat="1">
      <c r="A90" s="100">
        <v>5303098</v>
      </c>
      <c r="B90" s="101">
        <v>105</v>
      </c>
      <c r="C90" s="101"/>
      <c r="D90" s="109">
        <v>5303176</v>
      </c>
      <c r="E90" s="110">
        <v>120</v>
      </c>
      <c r="F90" s="110"/>
      <c r="G90" s="135">
        <v>5303034</v>
      </c>
      <c r="H90" s="136">
        <v>120</v>
      </c>
      <c r="I90" s="136"/>
      <c r="J90" s="100">
        <v>5303100</v>
      </c>
      <c r="K90" s="101">
        <v>105</v>
      </c>
      <c r="L90" s="101"/>
      <c r="M90" s="119"/>
      <c r="N90" s="119"/>
      <c r="O90" s="119"/>
      <c r="P90" s="119"/>
      <c r="Q90" s="119"/>
      <c r="R90" s="119"/>
      <c r="S90" s="119"/>
      <c r="T90" s="119"/>
      <c r="U90" s="119"/>
      <c r="V90" s="60"/>
      <c r="W90" s="60"/>
      <c r="X90" s="60"/>
      <c r="Y90" s="60"/>
      <c r="Z90" s="60"/>
      <c r="AA90" s="60"/>
      <c r="AB90" s="60"/>
      <c r="AC90" s="60"/>
      <c r="AD90" s="60"/>
      <c r="AE90" s="60"/>
    </row>
    <row r="91" spans="1:31" s="46" customFormat="1">
      <c r="A91" s="103">
        <v>5303043</v>
      </c>
      <c r="B91" s="104">
        <v>130</v>
      </c>
      <c r="C91" s="104"/>
      <c r="D91" s="103">
        <v>5303043</v>
      </c>
      <c r="E91" s="104">
        <v>130</v>
      </c>
      <c r="F91" s="104"/>
      <c r="G91" s="103">
        <v>5303043</v>
      </c>
      <c r="H91" s="104">
        <v>130</v>
      </c>
      <c r="I91" s="104"/>
      <c r="J91" s="109">
        <v>5303038</v>
      </c>
      <c r="K91" s="110">
        <v>120</v>
      </c>
      <c r="L91" s="110"/>
      <c r="M91" s="119"/>
      <c r="N91" s="119"/>
      <c r="O91" s="119"/>
      <c r="P91" s="119"/>
      <c r="Q91" s="119"/>
      <c r="R91" s="119"/>
      <c r="S91" s="119"/>
      <c r="T91" s="119"/>
      <c r="U91" s="119"/>
      <c r="V91" s="60"/>
      <c r="W91" s="60"/>
      <c r="X91" s="60"/>
      <c r="Y91" s="60"/>
      <c r="Z91" s="60"/>
      <c r="AA91" s="60"/>
      <c r="AB91" s="60"/>
      <c r="AC91" s="60"/>
      <c r="AD91" s="60"/>
      <c r="AE91" s="60"/>
    </row>
    <row r="92" spans="1:31" s="46" customFormat="1">
      <c r="A92" s="100">
        <v>5203109</v>
      </c>
      <c r="B92" s="101">
        <v>115</v>
      </c>
      <c r="C92" s="101"/>
      <c r="D92" s="100">
        <v>5203109</v>
      </c>
      <c r="E92" s="101">
        <v>115</v>
      </c>
      <c r="F92" s="101"/>
      <c r="G92" s="109">
        <v>5303038</v>
      </c>
      <c r="H92" s="110">
        <v>120</v>
      </c>
      <c r="I92" s="110"/>
      <c r="J92" s="109">
        <v>5303038</v>
      </c>
      <c r="K92" s="110">
        <v>120</v>
      </c>
      <c r="L92" s="110"/>
      <c r="M92" s="119"/>
      <c r="N92" s="119"/>
      <c r="O92" s="119"/>
      <c r="P92" s="119"/>
      <c r="Q92" s="119"/>
      <c r="R92" s="119"/>
      <c r="S92" s="119"/>
      <c r="T92" s="119"/>
      <c r="U92" s="119"/>
      <c r="V92" s="60"/>
      <c r="W92" s="60"/>
      <c r="X92" s="60"/>
      <c r="Y92" s="60"/>
      <c r="Z92" s="60"/>
      <c r="AA92" s="60"/>
      <c r="AB92" s="60"/>
      <c r="AC92" s="60"/>
      <c r="AD92" s="60"/>
      <c r="AE92" s="60"/>
    </row>
    <row r="93" spans="1:31" s="46" customFormat="1">
      <c r="A93" s="103">
        <v>5203044</v>
      </c>
      <c r="B93" s="104">
        <v>120</v>
      </c>
      <c r="C93" s="104"/>
      <c r="D93" s="103">
        <v>5203044</v>
      </c>
      <c r="E93" s="104">
        <v>120</v>
      </c>
      <c r="F93" s="104"/>
      <c r="G93" s="103">
        <v>5203044</v>
      </c>
      <c r="H93" s="104">
        <v>120</v>
      </c>
      <c r="I93" s="104"/>
      <c r="J93" s="103">
        <v>5203044</v>
      </c>
      <c r="K93" s="104">
        <v>120</v>
      </c>
      <c r="L93" s="104"/>
      <c r="M93" s="119"/>
      <c r="N93" s="119"/>
      <c r="O93" s="119"/>
      <c r="P93" s="119"/>
      <c r="Q93" s="119"/>
      <c r="R93" s="119"/>
      <c r="S93" s="119"/>
      <c r="T93" s="119"/>
      <c r="U93" s="119"/>
      <c r="V93" s="60"/>
      <c r="W93" s="60"/>
      <c r="X93" s="60"/>
      <c r="Y93" s="60"/>
      <c r="Z93" s="60"/>
      <c r="AA93" s="60"/>
      <c r="AB93" s="60"/>
      <c r="AC93" s="60"/>
      <c r="AD93" s="60"/>
      <c r="AE93" s="60"/>
    </row>
    <row r="94" spans="1:31" s="46" customFormat="1">
      <c r="A94" s="109">
        <v>5303149</v>
      </c>
      <c r="B94" s="110">
        <v>126</v>
      </c>
      <c r="C94" s="110"/>
      <c r="D94" s="135">
        <v>5303099</v>
      </c>
      <c r="E94" s="136">
        <v>120</v>
      </c>
      <c r="F94" s="136"/>
      <c r="G94" s="109">
        <v>5303105</v>
      </c>
      <c r="H94" s="110">
        <v>120</v>
      </c>
      <c r="I94" s="110"/>
      <c r="J94" s="103">
        <v>5203044</v>
      </c>
      <c r="K94" s="104">
        <v>120</v>
      </c>
      <c r="L94" s="104"/>
      <c r="M94" s="119"/>
      <c r="N94" s="119"/>
      <c r="O94" s="119"/>
      <c r="P94" s="119"/>
      <c r="Q94" s="119"/>
      <c r="R94" s="119"/>
      <c r="S94" s="119"/>
      <c r="T94" s="119"/>
      <c r="U94" s="119"/>
      <c r="V94" s="60"/>
      <c r="W94" s="60"/>
      <c r="X94" s="60"/>
      <c r="Y94" s="60"/>
      <c r="Z94" s="60"/>
      <c r="AA94" s="60"/>
      <c r="AB94" s="60"/>
      <c r="AC94" s="60"/>
      <c r="AD94" s="60"/>
      <c r="AE94" s="60"/>
    </row>
    <row r="95" spans="1:31" s="46" customFormat="1">
      <c r="A95" s="100">
        <v>3378884</v>
      </c>
      <c r="B95" s="101">
        <v>130</v>
      </c>
      <c r="C95" s="101"/>
      <c r="D95" s="100">
        <v>3378884</v>
      </c>
      <c r="E95" s="101">
        <v>130</v>
      </c>
      <c r="F95" s="101"/>
      <c r="G95" s="100">
        <v>3378884</v>
      </c>
      <c r="H95" s="101">
        <v>130</v>
      </c>
      <c r="I95" s="101"/>
      <c r="J95" s="135">
        <v>5303041</v>
      </c>
      <c r="K95" s="136">
        <v>120</v>
      </c>
      <c r="L95" s="136"/>
      <c r="M95" s="119"/>
      <c r="N95" s="119"/>
      <c r="O95" s="119"/>
      <c r="P95" s="119"/>
      <c r="Q95" s="119"/>
      <c r="R95" s="119"/>
      <c r="S95" s="119"/>
      <c r="T95" s="119"/>
      <c r="U95" s="119"/>
      <c r="V95" s="60"/>
      <c r="W95" s="60"/>
      <c r="X95" s="60"/>
      <c r="Y95" s="60"/>
      <c r="Z95" s="60"/>
      <c r="AA95" s="60"/>
      <c r="AB95" s="60"/>
      <c r="AC95" s="60"/>
      <c r="AD95" s="60"/>
      <c r="AE95" s="60"/>
    </row>
    <row r="96" spans="1:31" s="46" customFormat="1">
      <c r="A96" s="103">
        <v>5301380</v>
      </c>
      <c r="B96" s="104">
        <v>120</v>
      </c>
      <c r="C96" s="104"/>
      <c r="D96" s="103">
        <v>5301380</v>
      </c>
      <c r="E96" s="104">
        <v>120</v>
      </c>
      <c r="F96" s="104"/>
      <c r="G96" s="103">
        <v>5301380</v>
      </c>
      <c r="H96" s="104">
        <v>120</v>
      </c>
      <c r="I96" s="104"/>
      <c r="J96" s="122">
        <v>5303040</v>
      </c>
      <c r="K96" s="123">
        <v>135</v>
      </c>
      <c r="L96" s="123"/>
      <c r="M96" s="119"/>
      <c r="N96" s="119"/>
      <c r="O96" s="119"/>
      <c r="P96" s="119"/>
      <c r="Q96" s="119"/>
      <c r="R96" s="119"/>
      <c r="S96" s="119"/>
      <c r="T96" s="119"/>
      <c r="U96" s="119"/>
      <c r="V96" s="60"/>
      <c r="W96" s="60"/>
      <c r="X96" s="60"/>
      <c r="Y96" s="60"/>
      <c r="Z96" s="60"/>
      <c r="AA96" s="60"/>
      <c r="AB96" s="60"/>
      <c r="AC96" s="60"/>
      <c r="AD96" s="60"/>
      <c r="AE96" s="60"/>
    </row>
    <row r="97" spans="1:31" s="46" customFormat="1">
      <c r="A97" s="100">
        <v>5303035</v>
      </c>
      <c r="B97" s="101">
        <v>105</v>
      </c>
      <c r="C97" s="101"/>
      <c r="D97" s="100">
        <v>5303035</v>
      </c>
      <c r="E97" s="101">
        <v>105</v>
      </c>
      <c r="F97" s="101"/>
      <c r="G97" s="109">
        <v>5203831</v>
      </c>
      <c r="H97" s="110">
        <v>135</v>
      </c>
      <c r="I97" s="110"/>
      <c r="J97" s="127"/>
      <c r="K97" s="126"/>
      <c r="L97" s="126"/>
      <c r="M97" s="119"/>
      <c r="N97" s="119"/>
      <c r="O97" s="119"/>
      <c r="P97" s="119"/>
      <c r="Q97" s="119"/>
      <c r="R97" s="119"/>
      <c r="S97" s="119"/>
      <c r="T97" s="119"/>
      <c r="U97" s="119"/>
      <c r="V97" s="60"/>
      <c r="W97" s="60"/>
      <c r="X97" s="60"/>
      <c r="Y97" s="60"/>
      <c r="Z97" s="60"/>
      <c r="AA97" s="60"/>
      <c r="AB97" s="60"/>
      <c r="AC97" s="60"/>
      <c r="AD97" s="60"/>
      <c r="AE97" s="60"/>
    </row>
    <row r="98" spans="1:31" s="46" customFormat="1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60"/>
      <c r="W98" s="60"/>
      <c r="X98" s="60"/>
      <c r="Y98" s="60"/>
      <c r="Z98" s="60"/>
      <c r="AA98" s="60"/>
      <c r="AB98" s="60"/>
      <c r="AC98" s="60"/>
      <c r="AD98" s="60"/>
      <c r="AE98" s="60"/>
    </row>
    <row r="99" spans="1:31" s="46" customFormat="1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60"/>
      <c r="W99" s="60"/>
      <c r="X99" s="60"/>
      <c r="Y99" s="60"/>
      <c r="Z99" s="60"/>
      <c r="AA99" s="60"/>
      <c r="AB99" s="60"/>
      <c r="AC99" s="60"/>
      <c r="AD99" s="60"/>
      <c r="AE99" s="60"/>
    </row>
    <row r="100" spans="1:31" s="46" customFormat="1">
      <c r="A100" s="173" t="s">
        <v>167</v>
      </c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19"/>
      <c r="N100" s="119"/>
      <c r="O100" s="119"/>
      <c r="P100" s="119"/>
      <c r="Q100" s="119"/>
      <c r="R100" s="119"/>
      <c r="S100" s="119"/>
      <c r="T100" s="119"/>
      <c r="U100" s="119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</row>
    <row r="101" spans="1:31" s="46" customFormat="1">
      <c r="A101" s="178" t="s">
        <v>178</v>
      </c>
      <c r="B101" s="179"/>
      <c r="C101" s="179"/>
      <c r="D101" s="179"/>
      <c r="E101" s="179"/>
      <c r="F101" s="179"/>
      <c r="G101" s="179"/>
      <c r="H101" s="179"/>
      <c r="I101" s="179"/>
      <c r="J101" s="179"/>
      <c r="K101" s="179"/>
      <c r="L101" s="180"/>
      <c r="M101" s="119"/>
      <c r="N101" s="119"/>
      <c r="O101" s="119"/>
      <c r="P101" s="119"/>
      <c r="Q101" s="119"/>
      <c r="R101" s="119"/>
      <c r="S101" s="119"/>
      <c r="T101" s="119"/>
      <c r="U101" s="119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</row>
    <row r="102" spans="1:31" s="46" customFormat="1">
      <c r="A102" s="174" t="s">
        <v>171</v>
      </c>
      <c r="B102" s="174"/>
      <c r="C102" s="174"/>
      <c r="D102" s="174"/>
      <c r="E102" s="174"/>
      <c r="F102" s="174"/>
      <c r="G102" s="174" t="s">
        <v>169</v>
      </c>
      <c r="H102" s="174"/>
      <c r="I102" s="174"/>
      <c r="J102" s="174"/>
      <c r="K102" s="174"/>
      <c r="L102" s="174"/>
      <c r="M102" s="119"/>
      <c r="N102" s="119"/>
      <c r="O102" s="119"/>
      <c r="P102" s="119"/>
      <c r="Q102" s="119"/>
      <c r="R102" s="119"/>
      <c r="S102" s="119"/>
      <c r="T102" s="119"/>
      <c r="U102" s="119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</row>
    <row r="103" spans="1:31" s="46" customFormat="1">
      <c r="A103" s="174" t="s">
        <v>110</v>
      </c>
      <c r="B103" s="174"/>
      <c r="C103" s="174"/>
      <c r="D103" s="174" t="s">
        <v>111</v>
      </c>
      <c r="E103" s="174"/>
      <c r="F103" s="174"/>
      <c r="G103" s="174" t="s">
        <v>112</v>
      </c>
      <c r="H103" s="174"/>
      <c r="I103" s="174"/>
      <c r="J103" s="174" t="s">
        <v>113</v>
      </c>
      <c r="K103" s="174"/>
      <c r="L103" s="174"/>
      <c r="M103" s="119"/>
      <c r="N103" s="119"/>
      <c r="O103" s="119"/>
      <c r="P103" s="119"/>
      <c r="Q103" s="119"/>
      <c r="R103" s="119"/>
      <c r="S103" s="119"/>
      <c r="T103" s="119"/>
      <c r="U103" s="119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</row>
    <row r="104" spans="1:31" s="46" customFormat="1" ht="36">
      <c r="A104" s="117" t="s">
        <v>114</v>
      </c>
      <c r="B104" s="118" t="s">
        <v>115</v>
      </c>
      <c r="C104" s="118" t="s">
        <v>172</v>
      </c>
      <c r="D104" s="117" t="s">
        <v>114</v>
      </c>
      <c r="E104" s="118" t="s">
        <v>115</v>
      </c>
      <c r="F104" s="118" t="s">
        <v>172</v>
      </c>
      <c r="G104" s="117" t="s">
        <v>114</v>
      </c>
      <c r="H104" s="118" t="s">
        <v>115</v>
      </c>
      <c r="I104" s="118" t="s">
        <v>172</v>
      </c>
      <c r="J104" s="117" t="s">
        <v>114</v>
      </c>
      <c r="K104" s="118" t="s">
        <v>115</v>
      </c>
      <c r="L104" s="118" t="s">
        <v>172</v>
      </c>
      <c r="M104" s="119"/>
      <c r="N104" s="119"/>
      <c r="O104" s="119"/>
      <c r="P104" s="119"/>
      <c r="Q104" s="119"/>
      <c r="R104" s="119"/>
      <c r="S104" s="119"/>
      <c r="T104" s="119"/>
      <c r="U104" s="119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</row>
    <row r="105" spans="1:31" s="46" customFormat="1">
      <c r="A105" s="133">
        <v>5303042</v>
      </c>
      <c r="B105" s="134">
        <v>150</v>
      </c>
      <c r="C105" s="134"/>
      <c r="D105" s="137">
        <v>5303107</v>
      </c>
      <c r="E105" s="138">
        <v>120</v>
      </c>
      <c r="F105" s="138"/>
      <c r="G105" s="137">
        <v>5303107</v>
      </c>
      <c r="H105" s="138">
        <v>120</v>
      </c>
      <c r="I105" s="139"/>
      <c r="J105" s="133">
        <v>5303039</v>
      </c>
      <c r="K105" s="134">
        <v>100</v>
      </c>
      <c r="L105" s="140"/>
      <c r="M105" s="119"/>
      <c r="N105" s="119"/>
      <c r="O105" s="119"/>
      <c r="P105" s="119"/>
      <c r="Q105" s="119"/>
      <c r="R105" s="119"/>
      <c r="S105" s="119"/>
      <c r="T105" s="119"/>
      <c r="U105" s="119"/>
      <c r="V105" s="60"/>
      <c r="W105" s="60"/>
      <c r="X105" s="60"/>
      <c r="Y105" s="60"/>
      <c r="Z105" s="60"/>
      <c r="AA105" s="60"/>
    </row>
    <row r="106" spans="1:31" s="46" customFormat="1">
      <c r="A106" s="109">
        <v>3378884</v>
      </c>
      <c r="B106" s="110">
        <v>130</v>
      </c>
      <c r="C106" s="141"/>
      <c r="D106" s="109">
        <v>3378884</v>
      </c>
      <c r="E106" s="110">
        <v>130</v>
      </c>
      <c r="F106" s="141"/>
      <c r="G106" s="109">
        <v>3378884</v>
      </c>
      <c r="H106" s="110">
        <v>130</v>
      </c>
      <c r="I106" s="141"/>
      <c r="J106" s="100">
        <v>5303041</v>
      </c>
      <c r="K106" s="101">
        <v>120</v>
      </c>
      <c r="L106" s="142"/>
      <c r="M106" s="119"/>
      <c r="N106" s="119"/>
      <c r="O106" s="119"/>
      <c r="P106" s="119"/>
      <c r="Q106" s="119"/>
      <c r="R106" s="119"/>
      <c r="S106" s="119"/>
      <c r="T106" s="119"/>
      <c r="U106" s="119"/>
      <c r="V106" s="60"/>
      <c r="W106" s="60"/>
      <c r="X106" s="60"/>
      <c r="Y106" s="60"/>
      <c r="Z106" s="60"/>
      <c r="AA106" s="60"/>
    </row>
    <row r="107" spans="1:31" s="46" customFormat="1">
      <c r="A107" s="133">
        <v>5303035</v>
      </c>
      <c r="B107" s="134">
        <v>105</v>
      </c>
      <c r="C107" s="140"/>
      <c r="D107" s="133">
        <v>5303035</v>
      </c>
      <c r="E107" s="134">
        <v>105</v>
      </c>
      <c r="F107" s="140"/>
      <c r="G107" s="122">
        <v>5203831</v>
      </c>
      <c r="H107" s="123">
        <v>135</v>
      </c>
      <c r="I107" s="143"/>
      <c r="J107" s="133">
        <v>5303098</v>
      </c>
      <c r="K107" s="134">
        <v>105</v>
      </c>
      <c r="L107" s="140"/>
      <c r="M107" s="119"/>
      <c r="N107" s="119"/>
      <c r="O107" s="119"/>
      <c r="P107" s="119"/>
      <c r="Q107" s="119"/>
      <c r="R107" s="119"/>
      <c r="S107" s="119"/>
      <c r="T107" s="119"/>
      <c r="U107" s="119"/>
      <c r="V107" s="60"/>
      <c r="W107" s="60"/>
      <c r="X107" s="60"/>
      <c r="Y107" s="60"/>
      <c r="Z107" s="60"/>
      <c r="AA107" s="60"/>
    </row>
    <row r="108" spans="1:31" s="46" customFormat="1">
      <c r="A108" s="137">
        <v>5303108</v>
      </c>
      <c r="B108" s="138">
        <v>105</v>
      </c>
      <c r="C108" s="139"/>
      <c r="D108" s="137">
        <v>5303108</v>
      </c>
      <c r="E108" s="138">
        <v>105</v>
      </c>
      <c r="F108" s="138"/>
      <c r="G108" s="109">
        <v>5303176</v>
      </c>
      <c r="H108" s="110">
        <v>120</v>
      </c>
      <c r="I108" s="110"/>
      <c r="J108" s="137">
        <v>5303034</v>
      </c>
      <c r="K108" s="138">
        <v>120</v>
      </c>
      <c r="L108" s="139"/>
      <c r="M108" s="119"/>
      <c r="N108" s="119"/>
      <c r="O108" s="119"/>
      <c r="P108" s="119"/>
      <c r="Q108" s="119"/>
      <c r="R108" s="119"/>
      <c r="S108" s="119"/>
      <c r="T108" s="119"/>
      <c r="U108" s="119"/>
      <c r="V108" s="60"/>
      <c r="W108" s="60"/>
      <c r="X108" s="60"/>
      <c r="Y108" s="60"/>
      <c r="Z108" s="60"/>
      <c r="AA108" s="60"/>
    </row>
    <row r="109" spans="1:31" s="46" customFormat="1">
      <c r="A109" s="133">
        <v>5303100</v>
      </c>
      <c r="B109" s="134">
        <v>105</v>
      </c>
      <c r="C109" s="140"/>
      <c r="D109" s="100">
        <v>5303043</v>
      </c>
      <c r="E109" s="101">
        <v>130</v>
      </c>
      <c r="F109" s="142"/>
      <c r="G109" s="100">
        <v>5303043</v>
      </c>
      <c r="H109" s="101">
        <v>130</v>
      </c>
      <c r="I109" s="142"/>
      <c r="J109" s="100">
        <v>5303043</v>
      </c>
      <c r="K109" s="101">
        <v>130</v>
      </c>
      <c r="L109" s="142"/>
      <c r="M109" s="119"/>
      <c r="N109" s="119"/>
      <c r="O109" s="119"/>
      <c r="P109" s="119"/>
      <c r="Q109" s="119"/>
      <c r="R109" s="119"/>
      <c r="S109" s="119"/>
      <c r="T109" s="119"/>
      <c r="U109" s="119"/>
      <c r="V109" s="60"/>
      <c r="W109" s="60"/>
      <c r="X109" s="60"/>
      <c r="Y109" s="60"/>
      <c r="Z109" s="60"/>
      <c r="AA109" s="60"/>
    </row>
    <row r="110" spans="1:31" s="46" customFormat="1">
      <c r="A110" s="109">
        <v>3378884</v>
      </c>
      <c r="B110" s="110">
        <v>130</v>
      </c>
      <c r="C110" s="141"/>
      <c r="D110" s="109">
        <v>3378884</v>
      </c>
      <c r="E110" s="110">
        <v>130</v>
      </c>
      <c r="F110" s="141"/>
      <c r="G110" s="109">
        <v>3378884</v>
      </c>
      <c r="H110" s="110">
        <v>130</v>
      </c>
      <c r="I110" s="141"/>
      <c r="J110" s="137">
        <v>5303041</v>
      </c>
      <c r="K110" s="138">
        <v>120</v>
      </c>
      <c r="L110" s="139"/>
      <c r="M110" s="119"/>
      <c r="N110" s="119"/>
      <c r="O110" s="119"/>
      <c r="P110" s="119"/>
      <c r="Q110" s="119"/>
      <c r="R110" s="119"/>
      <c r="S110" s="119"/>
      <c r="T110" s="119"/>
      <c r="U110" s="119"/>
      <c r="V110" s="60"/>
      <c r="W110" s="60"/>
      <c r="X110" s="60"/>
      <c r="Y110" s="60"/>
      <c r="Z110" s="60"/>
      <c r="AA110" s="60"/>
    </row>
    <row r="111" spans="1:31" s="46" customFormat="1">
      <c r="A111" s="133">
        <v>5303038</v>
      </c>
      <c r="B111" s="134">
        <v>120</v>
      </c>
      <c r="C111" s="134"/>
      <c r="D111" s="133">
        <v>5303038</v>
      </c>
      <c r="E111" s="134">
        <v>120</v>
      </c>
      <c r="F111" s="140"/>
      <c r="G111" s="133">
        <v>5303038</v>
      </c>
      <c r="H111" s="134">
        <v>120</v>
      </c>
      <c r="I111" s="140"/>
      <c r="J111" s="100">
        <v>5303150</v>
      </c>
      <c r="K111" s="101">
        <v>120</v>
      </c>
      <c r="L111" s="142"/>
      <c r="M111" s="119"/>
      <c r="N111" s="119"/>
      <c r="O111" s="119"/>
      <c r="P111" s="119"/>
      <c r="Q111" s="119"/>
      <c r="R111" s="119"/>
      <c r="S111" s="119"/>
      <c r="T111" s="119"/>
      <c r="U111" s="119"/>
      <c r="V111" s="60"/>
      <c r="W111" s="60"/>
      <c r="X111" s="60"/>
      <c r="Y111" s="60"/>
      <c r="Z111" s="60"/>
      <c r="AA111" s="60"/>
    </row>
    <row r="112" spans="1:31" s="46" customFormat="1">
      <c r="A112" s="137">
        <v>5203109</v>
      </c>
      <c r="B112" s="138">
        <v>115</v>
      </c>
      <c r="C112" s="139"/>
      <c r="D112" s="137">
        <v>5203109</v>
      </c>
      <c r="E112" s="138">
        <v>115</v>
      </c>
      <c r="F112" s="139"/>
      <c r="G112" s="122">
        <v>5303106</v>
      </c>
      <c r="H112" s="123">
        <v>300</v>
      </c>
      <c r="I112" s="143"/>
      <c r="J112" s="137">
        <v>5303033</v>
      </c>
      <c r="K112" s="138">
        <v>300</v>
      </c>
      <c r="L112" s="139"/>
      <c r="M112" s="119"/>
      <c r="N112" s="119"/>
      <c r="O112" s="119"/>
      <c r="P112" s="119"/>
      <c r="Q112" s="119"/>
      <c r="R112" s="119"/>
      <c r="S112" s="119"/>
      <c r="T112" s="119"/>
      <c r="U112" s="119"/>
      <c r="V112" s="60"/>
      <c r="W112" s="60"/>
      <c r="X112" s="60"/>
      <c r="Y112" s="60"/>
      <c r="Z112" s="60"/>
      <c r="AA112" s="60"/>
    </row>
    <row r="113" spans="1:27" s="46" customFormat="1">
      <c r="A113" s="133">
        <v>5303035</v>
      </c>
      <c r="B113" s="134">
        <v>105</v>
      </c>
      <c r="C113" s="140"/>
      <c r="D113" s="133">
        <v>5303035</v>
      </c>
      <c r="E113" s="134">
        <v>105</v>
      </c>
      <c r="F113" s="140"/>
      <c r="G113" s="100">
        <v>5203831</v>
      </c>
      <c r="H113" s="101">
        <v>135</v>
      </c>
      <c r="I113" s="101"/>
      <c r="J113" s="133">
        <v>5303039</v>
      </c>
      <c r="K113" s="134">
        <v>100</v>
      </c>
      <c r="L113" s="134"/>
      <c r="M113" s="119"/>
      <c r="N113" s="119"/>
      <c r="O113" s="119"/>
      <c r="P113" s="119"/>
      <c r="Q113" s="119"/>
      <c r="R113" s="119"/>
      <c r="S113" s="119"/>
      <c r="T113" s="119"/>
      <c r="U113" s="119"/>
      <c r="V113" s="60"/>
      <c r="W113" s="60"/>
      <c r="X113" s="60"/>
      <c r="Y113" s="60"/>
      <c r="Z113" s="60"/>
      <c r="AA113" s="60"/>
    </row>
    <row r="114" spans="1:27" s="46" customFormat="1">
      <c r="A114" s="122">
        <v>5303107</v>
      </c>
      <c r="B114" s="123">
        <v>120</v>
      </c>
      <c r="C114" s="143"/>
      <c r="D114" s="122">
        <v>5303107</v>
      </c>
      <c r="E114" s="123">
        <v>120</v>
      </c>
      <c r="F114" s="143"/>
      <c r="G114" s="109">
        <v>5303105</v>
      </c>
      <c r="H114" s="110">
        <v>120</v>
      </c>
      <c r="I114" s="141"/>
      <c r="J114" s="137">
        <v>5303099</v>
      </c>
      <c r="K114" s="138">
        <v>120</v>
      </c>
      <c r="L114" s="139"/>
      <c r="M114" s="119"/>
      <c r="N114" s="119"/>
      <c r="O114" s="119"/>
      <c r="P114" s="119"/>
      <c r="Q114" s="119"/>
      <c r="R114" s="119"/>
      <c r="S114" s="119"/>
      <c r="T114" s="119"/>
      <c r="U114" s="119"/>
      <c r="V114" s="60"/>
      <c r="W114" s="60"/>
      <c r="X114" s="60"/>
      <c r="Y114" s="60"/>
      <c r="Z114" s="60"/>
      <c r="AA114" s="60"/>
    </row>
    <row r="115" spans="1:27" s="46" customFormat="1">
      <c r="A115" s="100">
        <v>5303040</v>
      </c>
      <c r="B115" s="101">
        <v>135</v>
      </c>
      <c r="C115" s="142"/>
      <c r="D115" s="133">
        <v>5301380</v>
      </c>
      <c r="E115" s="134">
        <v>120</v>
      </c>
      <c r="F115" s="140"/>
      <c r="G115" s="133">
        <v>5301380</v>
      </c>
      <c r="H115" s="134">
        <v>120</v>
      </c>
      <c r="I115" s="140"/>
      <c r="J115" s="133">
        <v>5301380</v>
      </c>
      <c r="K115" s="134">
        <v>120</v>
      </c>
      <c r="L115" s="140"/>
      <c r="M115" s="119"/>
      <c r="N115" s="119"/>
      <c r="O115" s="119"/>
      <c r="P115" s="119"/>
      <c r="Q115" s="119"/>
      <c r="R115" s="119"/>
      <c r="S115" s="119"/>
      <c r="T115" s="119"/>
      <c r="U115" s="119"/>
      <c r="V115" s="60"/>
      <c r="W115" s="60"/>
      <c r="X115" s="60"/>
      <c r="Y115" s="60"/>
      <c r="Z115" s="60"/>
      <c r="AA115" s="60"/>
    </row>
    <row r="116" spans="1:27" s="46" customFormat="1">
      <c r="A116" s="122">
        <v>3378884</v>
      </c>
      <c r="B116" s="123">
        <v>130</v>
      </c>
      <c r="C116" s="143"/>
      <c r="D116" s="122">
        <v>3378884</v>
      </c>
      <c r="E116" s="123">
        <v>130</v>
      </c>
      <c r="F116" s="143"/>
      <c r="G116" s="122">
        <v>3378884</v>
      </c>
      <c r="H116" s="123">
        <v>130</v>
      </c>
      <c r="I116" s="143"/>
      <c r="J116" s="137">
        <v>5303041</v>
      </c>
      <c r="K116" s="138">
        <v>120</v>
      </c>
      <c r="L116" s="139"/>
      <c r="M116" s="119"/>
      <c r="N116" s="119"/>
      <c r="O116" s="119"/>
      <c r="P116" s="119"/>
      <c r="Q116" s="119"/>
      <c r="R116" s="119"/>
      <c r="S116" s="119"/>
      <c r="T116" s="119"/>
      <c r="U116" s="119"/>
      <c r="V116" s="60"/>
      <c r="W116" s="60"/>
      <c r="X116" s="60"/>
      <c r="Y116" s="60"/>
      <c r="Z116" s="60"/>
      <c r="AA116" s="60"/>
    </row>
    <row r="117" spans="1:27" s="46" customFormat="1">
      <c r="A117" s="133">
        <v>5203044</v>
      </c>
      <c r="B117" s="134">
        <v>120</v>
      </c>
      <c r="C117" s="134"/>
      <c r="D117" s="133">
        <v>5203044</v>
      </c>
      <c r="E117" s="134">
        <v>120</v>
      </c>
      <c r="F117" s="134"/>
      <c r="G117" s="133">
        <v>5203044</v>
      </c>
      <c r="H117" s="134">
        <v>120</v>
      </c>
      <c r="I117" s="140"/>
      <c r="J117" s="133">
        <v>5203044</v>
      </c>
      <c r="K117" s="134">
        <v>120</v>
      </c>
      <c r="L117" s="140"/>
      <c r="M117" s="119"/>
      <c r="N117" s="119"/>
      <c r="O117" s="119"/>
      <c r="P117" s="119"/>
      <c r="Q117" s="119"/>
      <c r="R117" s="119"/>
      <c r="S117" s="119"/>
      <c r="T117" s="119"/>
      <c r="U117" s="119"/>
      <c r="V117" s="60"/>
      <c r="W117" s="60"/>
      <c r="X117" s="60"/>
      <c r="Y117" s="60"/>
      <c r="Z117" s="60"/>
      <c r="AA117" s="60"/>
    </row>
    <row r="118" spans="1:27" s="46" customFormat="1">
      <c r="A118" s="109">
        <v>5301460</v>
      </c>
      <c r="B118" s="110">
        <v>50</v>
      </c>
      <c r="C118" s="141"/>
      <c r="D118" s="100">
        <v>5303036</v>
      </c>
      <c r="E118" s="101">
        <v>300</v>
      </c>
      <c r="F118" s="142"/>
      <c r="G118" s="100">
        <v>5303149</v>
      </c>
      <c r="H118" s="101">
        <v>126</v>
      </c>
      <c r="I118" s="142"/>
      <c r="J118" s="137">
        <v>5203044</v>
      </c>
      <c r="K118" s="138">
        <v>120</v>
      </c>
      <c r="L118" s="139"/>
      <c r="M118" s="119"/>
      <c r="N118" s="119"/>
      <c r="O118" s="119"/>
      <c r="P118" s="119"/>
      <c r="Q118" s="119"/>
      <c r="R118" s="119"/>
      <c r="S118" s="119"/>
      <c r="T118" s="119"/>
      <c r="U118" s="119"/>
      <c r="V118" s="60"/>
      <c r="W118" s="60"/>
      <c r="X118" s="60"/>
      <c r="Y118" s="60"/>
      <c r="Z118" s="60"/>
      <c r="AA118" s="60"/>
    </row>
    <row r="119" spans="1:27" s="46" customFormat="1">
      <c r="A119" s="133">
        <v>5301446</v>
      </c>
      <c r="B119" s="134">
        <v>80</v>
      </c>
      <c r="C119" s="140"/>
      <c r="D119" s="133">
        <v>5301446</v>
      </c>
      <c r="E119" s="134">
        <v>80</v>
      </c>
      <c r="F119" s="144"/>
      <c r="G119" s="127"/>
      <c r="H119" s="126"/>
      <c r="I119" s="144"/>
      <c r="J119" s="127"/>
      <c r="K119" s="126"/>
      <c r="L119" s="144"/>
      <c r="M119" s="119"/>
      <c r="N119" s="119"/>
      <c r="O119" s="119"/>
      <c r="P119" s="119"/>
      <c r="Q119" s="119"/>
      <c r="R119" s="119"/>
      <c r="S119" s="119"/>
      <c r="T119" s="119"/>
      <c r="U119" s="119"/>
      <c r="V119" s="60"/>
      <c r="W119" s="60"/>
      <c r="X119" s="60"/>
      <c r="Y119" s="60"/>
      <c r="Z119" s="60"/>
      <c r="AA119" s="60"/>
    </row>
    <row r="120" spans="1:27" s="46" customFormat="1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30"/>
      <c r="N120" s="130"/>
      <c r="O120" s="130"/>
      <c r="P120" s="130"/>
      <c r="Q120" s="130"/>
      <c r="R120" s="130"/>
      <c r="S120" s="119"/>
      <c r="T120" s="119"/>
      <c r="U120" s="119"/>
      <c r="V120" s="60"/>
      <c r="W120" s="60"/>
      <c r="X120" s="60"/>
      <c r="Y120" s="60"/>
      <c r="Z120" s="60"/>
      <c r="AA120" s="60"/>
    </row>
    <row r="121" spans="1:27" s="46" customFormat="1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30"/>
      <c r="N121" s="130"/>
      <c r="O121" s="130"/>
      <c r="P121" s="130"/>
      <c r="Q121" s="130"/>
      <c r="R121" s="130"/>
      <c r="S121" s="119"/>
      <c r="T121" s="119"/>
      <c r="U121" s="119"/>
      <c r="V121" s="60"/>
      <c r="W121" s="60"/>
      <c r="X121" s="60"/>
      <c r="Y121" s="60"/>
      <c r="Z121" s="60"/>
      <c r="AA121" s="60"/>
    </row>
    <row r="122" spans="1:27" s="46" customFormat="1">
      <c r="A122" s="173" t="s">
        <v>167</v>
      </c>
      <c r="B122" s="173"/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30"/>
      <c r="N122" s="130"/>
      <c r="O122" s="130"/>
      <c r="P122" s="130"/>
      <c r="Q122" s="130"/>
      <c r="R122" s="130"/>
      <c r="S122" s="119"/>
      <c r="T122" s="119"/>
      <c r="U122" s="119"/>
      <c r="V122" s="60"/>
      <c r="W122" s="60"/>
      <c r="X122" s="60"/>
      <c r="Y122" s="60"/>
      <c r="Z122" s="60"/>
      <c r="AA122" s="60"/>
    </row>
    <row r="123" spans="1:27" s="46" customFormat="1">
      <c r="A123" s="178" t="s">
        <v>178</v>
      </c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80"/>
      <c r="M123" s="130"/>
      <c r="N123" s="130"/>
      <c r="O123" s="130"/>
      <c r="P123" s="130"/>
      <c r="Q123" s="130"/>
      <c r="R123" s="130"/>
      <c r="S123" s="119"/>
      <c r="T123" s="119"/>
      <c r="U123" s="119"/>
      <c r="V123" s="60"/>
      <c r="W123" s="60"/>
      <c r="X123" s="60"/>
      <c r="Y123" s="60"/>
      <c r="Z123" s="60"/>
      <c r="AA123" s="60"/>
    </row>
    <row r="124" spans="1:27" s="46" customFormat="1">
      <c r="A124" s="174" t="s">
        <v>170</v>
      </c>
      <c r="B124" s="174"/>
      <c r="C124" s="174"/>
      <c r="D124" s="174"/>
      <c r="E124" s="174"/>
      <c r="F124" s="174"/>
      <c r="G124" s="174" t="s">
        <v>169</v>
      </c>
      <c r="H124" s="174"/>
      <c r="I124" s="174"/>
      <c r="J124" s="174"/>
      <c r="K124" s="174"/>
      <c r="L124" s="174"/>
      <c r="M124" s="130"/>
      <c r="N124" s="130"/>
      <c r="O124" s="130"/>
      <c r="P124" s="130"/>
      <c r="Q124" s="130"/>
      <c r="R124" s="130"/>
      <c r="S124" s="119"/>
      <c r="T124" s="119"/>
      <c r="U124" s="119"/>
      <c r="V124" s="60"/>
      <c r="W124" s="60"/>
      <c r="X124" s="60"/>
      <c r="Y124" s="60"/>
      <c r="Z124" s="60"/>
      <c r="AA124" s="60"/>
    </row>
    <row r="125" spans="1:27" s="46" customFormat="1">
      <c r="A125" s="174" t="s">
        <v>110</v>
      </c>
      <c r="B125" s="174"/>
      <c r="C125" s="174"/>
      <c r="D125" s="174" t="s">
        <v>111</v>
      </c>
      <c r="E125" s="174"/>
      <c r="F125" s="174"/>
      <c r="G125" s="174" t="s">
        <v>112</v>
      </c>
      <c r="H125" s="174"/>
      <c r="I125" s="174"/>
      <c r="J125" s="174" t="s">
        <v>113</v>
      </c>
      <c r="K125" s="174"/>
      <c r="L125" s="174"/>
      <c r="M125" s="130"/>
      <c r="N125" s="130"/>
      <c r="O125" s="130"/>
      <c r="P125" s="130"/>
      <c r="Q125" s="130"/>
      <c r="R125" s="130"/>
      <c r="S125" s="119"/>
      <c r="T125" s="119"/>
      <c r="U125" s="119"/>
      <c r="V125" s="60"/>
      <c r="W125" s="60"/>
      <c r="X125" s="60"/>
      <c r="Y125" s="60"/>
      <c r="Z125" s="60"/>
      <c r="AA125" s="60"/>
    </row>
    <row r="126" spans="1:27" s="46" customFormat="1" ht="36">
      <c r="A126" s="117" t="s">
        <v>114</v>
      </c>
      <c r="B126" s="118" t="s">
        <v>115</v>
      </c>
      <c r="C126" s="118" t="s">
        <v>172</v>
      </c>
      <c r="D126" s="117" t="s">
        <v>114</v>
      </c>
      <c r="E126" s="118" t="s">
        <v>115</v>
      </c>
      <c r="F126" s="118" t="s">
        <v>172</v>
      </c>
      <c r="G126" s="117" t="s">
        <v>114</v>
      </c>
      <c r="H126" s="118" t="s">
        <v>115</v>
      </c>
      <c r="I126" s="118" t="s">
        <v>172</v>
      </c>
      <c r="J126" s="117" t="s">
        <v>114</v>
      </c>
      <c r="K126" s="118" t="s">
        <v>115</v>
      </c>
      <c r="L126" s="118" t="s">
        <v>172</v>
      </c>
      <c r="M126" s="130"/>
      <c r="N126" s="130"/>
      <c r="O126" s="130"/>
      <c r="P126" s="130"/>
      <c r="Q126" s="130"/>
      <c r="R126" s="130"/>
      <c r="S126" s="119"/>
      <c r="T126" s="119"/>
      <c r="U126" s="119"/>
      <c r="V126" s="60"/>
      <c r="W126" s="60"/>
      <c r="X126" s="60"/>
      <c r="Y126" s="60"/>
      <c r="Z126" s="60"/>
      <c r="AA126" s="60"/>
    </row>
    <row r="127" spans="1:27" s="46" customFormat="1">
      <c r="A127" s="109">
        <v>5303108</v>
      </c>
      <c r="B127" s="110">
        <v>105</v>
      </c>
      <c r="C127" s="110"/>
      <c r="D127" s="109">
        <v>5303108</v>
      </c>
      <c r="E127" s="110">
        <v>105</v>
      </c>
      <c r="F127" s="110"/>
      <c r="G127" s="106">
        <v>5303098</v>
      </c>
      <c r="H127" s="107">
        <v>105</v>
      </c>
      <c r="I127" s="107"/>
      <c r="J127" s="100">
        <v>5303176</v>
      </c>
      <c r="K127" s="101">
        <v>120</v>
      </c>
      <c r="L127" s="101"/>
      <c r="M127" s="119"/>
      <c r="N127" s="119"/>
      <c r="O127" s="119"/>
      <c r="P127" s="119"/>
      <c r="Q127" s="119"/>
      <c r="R127" s="119"/>
      <c r="S127" s="119"/>
      <c r="T127" s="119"/>
      <c r="U127" s="119"/>
      <c r="V127" s="60"/>
      <c r="W127" s="60"/>
      <c r="X127" s="60"/>
      <c r="Y127" s="60"/>
      <c r="Z127" s="60"/>
      <c r="AA127" s="60"/>
    </row>
    <row r="128" spans="1:27" s="46" customFormat="1">
      <c r="A128" s="100">
        <v>5303034</v>
      </c>
      <c r="B128" s="101">
        <v>120</v>
      </c>
      <c r="C128" s="101"/>
      <c r="D128" s="103">
        <v>5303100</v>
      </c>
      <c r="E128" s="104">
        <v>105</v>
      </c>
      <c r="F128" s="104"/>
      <c r="G128" s="133">
        <v>5303041</v>
      </c>
      <c r="H128" s="134">
        <v>120</v>
      </c>
      <c r="I128" s="134"/>
      <c r="J128" s="103">
        <v>5303042</v>
      </c>
      <c r="K128" s="104">
        <v>150</v>
      </c>
      <c r="L128" s="104"/>
      <c r="M128" s="119"/>
      <c r="N128" s="119"/>
      <c r="O128" s="119"/>
      <c r="P128" s="119"/>
      <c r="Q128" s="119"/>
      <c r="R128" s="119"/>
      <c r="S128" s="119"/>
      <c r="T128" s="119"/>
      <c r="U128" s="119"/>
      <c r="V128" s="60"/>
      <c r="W128" s="60"/>
      <c r="X128" s="60"/>
      <c r="Y128" s="60"/>
      <c r="Z128" s="60"/>
      <c r="AA128" s="60"/>
    </row>
    <row r="129" spans="1:27" s="46" customFormat="1">
      <c r="A129" s="109">
        <v>3378884</v>
      </c>
      <c r="B129" s="110">
        <v>130</v>
      </c>
      <c r="C129" s="110"/>
      <c r="D129" s="109">
        <v>3378884</v>
      </c>
      <c r="E129" s="110">
        <v>130</v>
      </c>
      <c r="F129" s="110"/>
      <c r="G129" s="109">
        <v>3378884</v>
      </c>
      <c r="H129" s="110">
        <v>130</v>
      </c>
      <c r="I129" s="110"/>
      <c r="J129" s="100">
        <v>5301012</v>
      </c>
      <c r="K129" s="101">
        <v>70</v>
      </c>
      <c r="L129" s="101"/>
      <c r="M129" s="119"/>
      <c r="N129" s="119"/>
      <c r="O129" s="119"/>
      <c r="P129" s="119"/>
      <c r="Q129" s="119"/>
      <c r="R129" s="119"/>
      <c r="S129" s="119"/>
      <c r="T129" s="119"/>
      <c r="U129" s="119"/>
      <c r="V129" s="60"/>
      <c r="W129" s="60"/>
      <c r="X129" s="60"/>
      <c r="Y129" s="60"/>
      <c r="Z129" s="60"/>
      <c r="AA129" s="60"/>
    </row>
    <row r="130" spans="1:27" s="46" customFormat="1">
      <c r="A130" s="100">
        <v>5301013</v>
      </c>
      <c r="B130" s="101">
        <v>70</v>
      </c>
      <c r="C130" s="101"/>
      <c r="D130" s="106">
        <v>5303035</v>
      </c>
      <c r="E130" s="107">
        <v>105</v>
      </c>
      <c r="F130" s="107"/>
      <c r="G130" s="106">
        <v>5303035</v>
      </c>
      <c r="H130" s="107">
        <v>105</v>
      </c>
      <c r="I130" s="107"/>
      <c r="J130" s="103">
        <v>5203831</v>
      </c>
      <c r="K130" s="104">
        <v>135</v>
      </c>
      <c r="L130" s="104"/>
      <c r="M130" s="119"/>
      <c r="N130" s="119"/>
      <c r="O130" s="119"/>
      <c r="P130" s="119"/>
      <c r="Q130" s="119"/>
      <c r="R130" s="119"/>
      <c r="S130" s="119"/>
      <c r="T130" s="119"/>
      <c r="U130" s="119"/>
      <c r="V130" s="60"/>
      <c r="W130" s="60"/>
      <c r="X130" s="60"/>
      <c r="Y130" s="60"/>
      <c r="Z130" s="60"/>
      <c r="AA130" s="60"/>
    </row>
    <row r="131" spans="1:27" s="46" customFormat="1">
      <c r="A131" s="109">
        <v>5201459</v>
      </c>
      <c r="B131" s="110">
        <v>34</v>
      </c>
      <c r="C131" s="110"/>
      <c r="D131" s="109">
        <v>5201459</v>
      </c>
      <c r="E131" s="110">
        <v>34</v>
      </c>
      <c r="F131" s="110"/>
      <c r="G131" s="109">
        <v>5201459</v>
      </c>
      <c r="H131" s="110">
        <v>34</v>
      </c>
      <c r="I131" s="110"/>
      <c r="J131" s="109">
        <v>5201459</v>
      </c>
      <c r="K131" s="110">
        <v>34</v>
      </c>
      <c r="L131" s="110"/>
      <c r="M131" s="119"/>
      <c r="N131" s="119"/>
      <c r="O131" s="119"/>
      <c r="P131" s="119"/>
      <c r="Q131" s="119"/>
      <c r="R131" s="119"/>
      <c r="S131" s="119"/>
      <c r="T131" s="119"/>
      <c r="U131" s="119"/>
      <c r="V131" s="60"/>
      <c r="W131" s="60"/>
      <c r="X131" s="60"/>
      <c r="Y131" s="60"/>
      <c r="Z131" s="60"/>
      <c r="AA131" s="60"/>
    </row>
    <row r="132" spans="1:27" s="46" customFormat="1">
      <c r="A132" s="106">
        <v>5303043</v>
      </c>
      <c r="B132" s="107">
        <v>130</v>
      </c>
      <c r="C132" s="107"/>
      <c r="D132" s="106">
        <v>5303043</v>
      </c>
      <c r="E132" s="107">
        <v>130</v>
      </c>
      <c r="F132" s="107"/>
      <c r="G132" s="106">
        <v>5303043</v>
      </c>
      <c r="H132" s="107">
        <v>130</v>
      </c>
      <c r="I132" s="107"/>
      <c r="J132" s="103">
        <v>5303041</v>
      </c>
      <c r="K132" s="104">
        <v>120</v>
      </c>
      <c r="L132" s="104"/>
      <c r="M132" s="119"/>
      <c r="N132" s="119"/>
      <c r="O132" s="119"/>
      <c r="P132" s="119"/>
      <c r="Q132" s="119"/>
      <c r="R132" s="119"/>
      <c r="S132" s="119"/>
      <c r="T132" s="119"/>
      <c r="U132" s="119"/>
      <c r="V132" s="60"/>
      <c r="W132" s="60"/>
      <c r="X132" s="60"/>
      <c r="Y132" s="60"/>
      <c r="Z132" s="60"/>
      <c r="AA132" s="60"/>
    </row>
    <row r="133" spans="1:27" s="46" customFormat="1">
      <c r="A133" s="109">
        <v>5303038</v>
      </c>
      <c r="B133" s="110">
        <v>120</v>
      </c>
      <c r="C133" s="110"/>
      <c r="D133" s="109">
        <v>5303038</v>
      </c>
      <c r="E133" s="110">
        <v>120</v>
      </c>
      <c r="F133" s="110"/>
      <c r="G133" s="109">
        <v>5303038</v>
      </c>
      <c r="H133" s="110">
        <v>120</v>
      </c>
      <c r="I133" s="110"/>
      <c r="J133" s="100">
        <v>5203109</v>
      </c>
      <c r="K133" s="101">
        <v>115</v>
      </c>
      <c r="L133" s="101"/>
      <c r="M133" s="119"/>
      <c r="N133" s="119"/>
      <c r="O133" s="119"/>
      <c r="P133" s="119"/>
      <c r="Q133" s="119"/>
      <c r="R133" s="119"/>
      <c r="S133" s="119"/>
      <c r="T133" s="119"/>
      <c r="U133" s="119"/>
      <c r="V133" s="60"/>
      <c r="W133" s="60"/>
      <c r="X133" s="60"/>
      <c r="Y133" s="60"/>
      <c r="Z133" s="60"/>
      <c r="AA133" s="60"/>
    </row>
    <row r="134" spans="1:27" s="46" customFormat="1">
      <c r="A134" s="106">
        <v>3378884</v>
      </c>
      <c r="B134" s="107">
        <v>130</v>
      </c>
      <c r="C134" s="107"/>
      <c r="D134" s="106">
        <v>3378884</v>
      </c>
      <c r="E134" s="107">
        <v>130</v>
      </c>
      <c r="F134" s="107"/>
      <c r="G134" s="106">
        <v>3378884</v>
      </c>
      <c r="H134" s="107">
        <v>130</v>
      </c>
      <c r="I134" s="107"/>
      <c r="J134" s="100">
        <v>5203109</v>
      </c>
      <c r="K134" s="101">
        <v>115</v>
      </c>
      <c r="L134" s="101"/>
      <c r="M134" s="119"/>
      <c r="N134" s="119"/>
      <c r="O134" s="119"/>
      <c r="P134" s="119"/>
      <c r="Q134" s="119"/>
      <c r="R134" s="119"/>
      <c r="S134" s="119"/>
      <c r="T134" s="119"/>
      <c r="U134" s="119"/>
      <c r="V134" s="60"/>
      <c r="W134" s="60"/>
      <c r="X134" s="60"/>
      <c r="Y134" s="60"/>
      <c r="Z134" s="60"/>
      <c r="AA134" s="60"/>
    </row>
    <row r="135" spans="1:27" s="46" customFormat="1">
      <c r="A135" s="109">
        <v>5303107</v>
      </c>
      <c r="B135" s="110">
        <v>120</v>
      </c>
      <c r="C135" s="110"/>
      <c r="D135" s="109">
        <v>5303107</v>
      </c>
      <c r="E135" s="110">
        <v>120</v>
      </c>
      <c r="F135" s="110"/>
      <c r="G135" s="103">
        <v>5303039</v>
      </c>
      <c r="H135" s="104">
        <v>100</v>
      </c>
      <c r="I135" s="104"/>
      <c r="J135" s="133">
        <v>5303496</v>
      </c>
      <c r="K135" s="134">
        <v>90</v>
      </c>
      <c r="L135" s="134"/>
      <c r="M135" s="119"/>
      <c r="N135" s="119"/>
      <c r="O135" s="119"/>
      <c r="P135" s="119"/>
      <c r="Q135" s="119"/>
      <c r="R135" s="119"/>
      <c r="S135" s="119"/>
      <c r="T135" s="119"/>
      <c r="U135" s="119"/>
      <c r="V135" s="60"/>
      <c r="W135" s="60"/>
      <c r="X135" s="60"/>
      <c r="Y135" s="60"/>
      <c r="Z135" s="60"/>
      <c r="AA135" s="60"/>
    </row>
    <row r="136" spans="1:27" s="46" customFormat="1">
      <c r="A136" s="106">
        <v>5203121</v>
      </c>
      <c r="B136" s="107">
        <v>100</v>
      </c>
      <c r="C136" s="107"/>
      <c r="D136" s="106">
        <v>5203121</v>
      </c>
      <c r="E136" s="107">
        <v>100</v>
      </c>
      <c r="F136" s="107"/>
      <c r="G136" s="106">
        <v>5203121</v>
      </c>
      <c r="H136" s="107">
        <v>100</v>
      </c>
      <c r="I136" s="107"/>
      <c r="J136" s="145">
        <v>5301550</v>
      </c>
      <c r="K136" s="146">
        <v>57</v>
      </c>
      <c r="L136" s="146"/>
      <c r="M136" s="119"/>
      <c r="N136" s="119"/>
      <c r="O136" s="119"/>
      <c r="P136" s="119"/>
      <c r="Q136" s="119"/>
      <c r="R136" s="119"/>
      <c r="S136" s="119"/>
      <c r="T136" s="119"/>
      <c r="U136" s="119"/>
      <c r="V136" s="60"/>
      <c r="W136" s="60"/>
      <c r="X136" s="60"/>
      <c r="Y136" s="60"/>
      <c r="Z136" s="60"/>
      <c r="AA136" s="60"/>
    </row>
    <row r="137" spans="1:27" s="46" customFormat="1">
      <c r="A137" s="109">
        <v>5301011</v>
      </c>
      <c r="B137" s="110">
        <v>120</v>
      </c>
      <c r="C137" s="110"/>
      <c r="D137" s="109">
        <v>5301011</v>
      </c>
      <c r="E137" s="110">
        <v>120</v>
      </c>
      <c r="F137" s="110"/>
      <c r="G137" s="109">
        <v>5301011</v>
      </c>
      <c r="H137" s="110">
        <v>120</v>
      </c>
      <c r="I137" s="110"/>
      <c r="J137" s="100">
        <v>5301461</v>
      </c>
      <c r="K137" s="101">
        <v>50</v>
      </c>
      <c r="L137" s="101"/>
      <c r="M137" s="119"/>
      <c r="N137" s="119"/>
      <c r="O137" s="119"/>
      <c r="P137" s="119"/>
      <c r="Q137" s="119"/>
      <c r="R137" s="119"/>
      <c r="S137" s="119"/>
      <c r="T137" s="119"/>
      <c r="U137" s="119"/>
      <c r="V137" s="60"/>
      <c r="W137" s="60"/>
      <c r="X137" s="60"/>
      <c r="Y137" s="60"/>
      <c r="Z137" s="60"/>
      <c r="AA137" s="60"/>
    </row>
    <row r="138" spans="1:27" s="46" customFormat="1">
      <c r="A138" s="106">
        <v>5203495</v>
      </c>
      <c r="B138" s="107">
        <v>102</v>
      </c>
      <c r="C138" s="107"/>
      <c r="D138" s="106">
        <v>5203495</v>
      </c>
      <c r="E138" s="107">
        <v>102</v>
      </c>
      <c r="F138" s="107"/>
      <c r="G138" s="106">
        <v>5203495</v>
      </c>
      <c r="H138" s="107">
        <v>102</v>
      </c>
      <c r="I138" s="107"/>
      <c r="J138" s="106">
        <v>5203495</v>
      </c>
      <c r="K138" s="107">
        <v>102</v>
      </c>
      <c r="L138" s="107"/>
      <c r="M138" s="119"/>
      <c r="N138" s="119"/>
      <c r="O138" s="119"/>
      <c r="P138" s="119"/>
      <c r="Q138" s="119"/>
      <c r="R138" s="119"/>
      <c r="S138" s="119"/>
      <c r="T138" s="119"/>
      <c r="U138" s="119"/>
      <c r="V138" s="60"/>
      <c r="W138" s="60"/>
      <c r="X138" s="60"/>
      <c r="Y138" s="60"/>
      <c r="Z138" s="60"/>
      <c r="AA138" s="60"/>
    </row>
    <row r="139" spans="1:27" s="46" customFormat="1">
      <c r="A139" s="114"/>
      <c r="B139" s="115"/>
      <c r="C139" s="115"/>
      <c r="D139" s="114"/>
      <c r="E139" s="115"/>
      <c r="F139" s="115"/>
      <c r="G139" s="100">
        <v>5201454</v>
      </c>
      <c r="H139" s="101">
        <v>70</v>
      </c>
      <c r="I139" s="101"/>
      <c r="J139" s="109">
        <v>5203495</v>
      </c>
      <c r="K139" s="110">
        <v>102</v>
      </c>
      <c r="L139" s="110"/>
      <c r="M139" s="119"/>
      <c r="N139" s="119"/>
      <c r="O139" s="119"/>
      <c r="P139" s="119"/>
      <c r="Q139" s="119"/>
      <c r="R139" s="119"/>
      <c r="S139" s="119"/>
      <c r="T139" s="119"/>
      <c r="U139" s="119"/>
      <c r="V139" s="60"/>
      <c r="W139" s="60"/>
      <c r="X139" s="60"/>
      <c r="Y139" s="60"/>
      <c r="Z139" s="60"/>
      <c r="AA139" s="60"/>
    </row>
    <row r="140" spans="1:27" s="46" customFormat="1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60"/>
      <c r="W140" s="60"/>
      <c r="X140" s="60"/>
      <c r="Y140" s="60"/>
      <c r="Z140" s="60"/>
      <c r="AA140" s="60"/>
    </row>
    <row r="141" spans="1:27" s="46" customFormat="1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60"/>
      <c r="W141" s="60"/>
      <c r="X141" s="60"/>
      <c r="Y141" s="60"/>
      <c r="Z141" s="60"/>
      <c r="AA141" s="60"/>
    </row>
    <row r="142" spans="1:27" s="46" customFormat="1">
      <c r="A142" s="173" t="s">
        <v>167</v>
      </c>
      <c r="B142" s="173"/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19"/>
      <c r="N142" s="119"/>
      <c r="O142" s="119"/>
      <c r="P142" s="119"/>
      <c r="Q142" s="119"/>
      <c r="R142" s="119"/>
      <c r="S142" s="119"/>
      <c r="T142" s="119"/>
      <c r="U142" s="119"/>
      <c r="V142" s="60"/>
      <c r="W142" s="60"/>
      <c r="X142" s="60"/>
      <c r="Y142" s="60"/>
      <c r="Z142" s="60"/>
      <c r="AA142" s="60"/>
    </row>
    <row r="143" spans="1:27" s="46" customFormat="1">
      <c r="A143" s="178" t="s">
        <v>179</v>
      </c>
      <c r="B143" s="179"/>
      <c r="C143" s="179"/>
      <c r="D143" s="179"/>
      <c r="E143" s="179"/>
      <c r="F143" s="179"/>
      <c r="G143" s="179"/>
      <c r="H143" s="179"/>
      <c r="I143" s="179"/>
      <c r="J143" s="179"/>
      <c r="K143" s="179"/>
      <c r="L143" s="180"/>
      <c r="M143" s="119"/>
      <c r="N143" s="119"/>
      <c r="O143" s="119"/>
      <c r="P143" s="119"/>
      <c r="Q143" s="119"/>
      <c r="R143" s="119"/>
      <c r="S143" s="119"/>
      <c r="T143" s="119"/>
      <c r="U143" s="119"/>
      <c r="V143" s="60"/>
      <c r="W143" s="60"/>
      <c r="X143" s="60"/>
      <c r="Y143" s="60"/>
      <c r="Z143" s="60"/>
      <c r="AA143" s="60"/>
    </row>
    <row r="144" spans="1:27" s="46" customFormat="1">
      <c r="A144" s="174" t="s">
        <v>168</v>
      </c>
      <c r="B144" s="174"/>
      <c r="C144" s="174"/>
      <c r="D144" s="174"/>
      <c r="E144" s="174"/>
      <c r="F144" s="174"/>
      <c r="G144" s="174" t="s">
        <v>169</v>
      </c>
      <c r="H144" s="174"/>
      <c r="I144" s="174"/>
      <c r="J144" s="174"/>
      <c r="K144" s="174"/>
      <c r="L144" s="174"/>
      <c r="M144" s="119"/>
      <c r="N144" s="119"/>
      <c r="O144" s="119"/>
      <c r="P144" s="119"/>
      <c r="Q144" s="119"/>
      <c r="R144" s="119"/>
      <c r="S144" s="119"/>
      <c r="T144" s="119"/>
      <c r="U144" s="130"/>
    </row>
    <row r="145" spans="1:21" s="46" customFormat="1">
      <c r="A145" s="174" t="s">
        <v>110</v>
      </c>
      <c r="B145" s="174"/>
      <c r="C145" s="174"/>
      <c r="D145" s="174" t="s">
        <v>111</v>
      </c>
      <c r="E145" s="174"/>
      <c r="F145" s="174"/>
      <c r="G145" s="174" t="s">
        <v>112</v>
      </c>
      <c r="H145" s="174"/>
      <c r="I145" s="174"/>
      <c r="J145" s="174" t="s">
        <v>113</v>
      </c>
      <c r="K145" s="174"/>
      <c r="L145" s="174"/>
      <c r="M145" s="119"/>
      <c r="N145" s="119"/>
      <c r="O145" s="119"/>
      <c r="P145" s="119"/>
      <c r="Q145" s="119"/>
      <c r="R145" s="119"/>
      <c r="S145" s="119"/>
      <c r="T145" s="119"/>
      <c r="U145" s="130"/>
    </row>
    <row r="146" spans="1:21" s="46" customFormat="1" ht="36">
      <c r="A146" s="117" t="s">
        <v>114</v>
      </c>
      <c r="B146" s="118" t="s">
        <v>115</v>
      </c>
      <c r="C146" s="118" t="s">
        <v>172</v>
      </c>
      <c r="D146" s="117" t="s">
        <v>114</v>
      </c>
      <c r="E146" s="118" t="s">
        <v>115</v>
      </c>
      <c r="F146" s="118" t="s">
        <v>172</v>
      </c>
      <c r="G146" s="117" t="s">
        <v>114</v>
      </c>
      <c r="H146" s="118" t="s">
        <v>115</v>
      </c>
      <c r="I146" s="118" t="s">
        <v>172</v>
      </c>
      <c r="J146" s="117" t="s">
        <v>114</v>
      </c>
      <c r="K146" s="118" t="s">
        <v>115</v>
      </c>
      <c r="L146" s="118" t="s">
        <v>172</v>
      </c>
      <c r="M146" s="119"/>
      <c r="N146" s="119"/>
      <c r="O146" s="119"/>
      <c r="P146" s="119"/>
      <c r="Q146" s="119"/>
      <c r="R146" s="119"/>
      <c r="S146" s="119"/>
      <c r="T146" s="119"/>
      <c r="U146" s="130"/>
    </row>
    <row r="147" spans="1:21" s="46" customFormat="1">
      <c r="A147" s="100">
        <v>5305398</v>
      </c>
      <c r="B147" s="101">
        <v>120</v>
      </c>
      <c r="C147" s="102"/>
      <c r="D147" s="103">
        <v>5304336</v>
      </c>
      <c r="E147" s="104">
        <v>105</v>
      </c>
      <c r="F147" s="105"/>
      <c r="G147" s="103">
        <v>5304336</v>
      </c>
      <c r="H147" s="104">
        <v>105</v>
      </c>
      <c r="I147" s="105"/>
      <c r="J147" s="103">
        <v>5304336</v>
      </c>
      <c r="K147" s="104">
        <v>105</v>
      </c>
      <c r="L147" s="105"/>
      <c r="M147" s="119"/>
      <c r="N147" s="119"/>
      <c r="O147" s="119"/>
      <c r="P147" s="119"/>
      <c r="Q147" s="119"/>
      <c r="R147" s="119"/>
      <c r="S147" s="119"/>
      <c r="T147" s="119"/>
      <c r="U147" s="130"/>
    </row>
    <row r="148" spans="1:21" s="46" customFormat="1">
      <c r="A148" s="106">
        <v>5204262</v>
      </c>
      <c r="B148" s="107">
        <v>120</v>
      </c>
      <c r="C148" s="108"/>
      <c r="D148" s="106">
        <v>5204262</v>
      </c>
      <c r="E148" s="107">
        <v>120</v>
      </c>
      <c r="F148" s="108"/>
      <c r="G148" s="106">
        <v>5204262</v>
      </c>
      <c r="H148" s="107">
        <v>120</v>
      </c>
      <c r="I148" s="108"/>
      <c r="J148" s="106">
        <v>5204262</v>
      </c>
      <c r="K148" s="107">
        <v>120</v>
      </c>
      <c r="L148" s="108"/>
      <c r="M148" s="119"/>
      <c r="N148" s="119"/>
      <c r="O148" s="119"/>
      <c r="P148" s="119"/>
      <c r="Q148" s="119"/>
      <c r="R148" s="119"/>
      <c r="S148" s="119"/>
      <c r="T148" s="119"/>
      <c r="U148" s="130"/>
    </row>
    <row r="149" spans="1:21" s="46" customFormat="1">
      <c r="A149" s="103">
        <v>5304363</v>
      </c>
      <c r="B149" s="104">
        <v>120</v>
      </c>
      <c r="C149" s="105"/>
      <c r="D149" s="103">
        <v>5304363</v>
      </c>
      <c r="E149" s="104">
        <v>120</v>
      </c>
      <c r="F149" s="105"/>
      <c r="G149" s="100">
        <v>5305274</v>
      </c>
      <c r="H149" s="101">
        <v>120</v>
      </c>
      <c r="I149" s="102"/>
      <c r="J149" s="100">
        <v>5305274</v>
      </c>
      <c r="K149" s="101">
        <v>120</v>
      </c>
      <c r="L149" s="102"/>
      <c r="M149" s="119"/>
      <c r="N149" s="119"/>
      <c r="O149" s="119"/>
      <c r="P149" s="119"/>
      <c r="Q149" s="119"/>
      <c r="R149" s="119"/>
      <c r="S149" s="119"/>
      <c r="T149" s="119"/>
      <c r="U149" s="130"/>
    </row>
    <row r="150" spans="1:21" s="46" customFormat="1">
      <c r="A150" s="106">
        <v>5204259</v>
      </c>
      <c r="B150" s="107">
        <v>110</v>
      </c>
      <c r="C150" s="108"/>
      <c r="D150" s="106">
        <v>5204259</v>
      </c>
      <c r="E150" s="107">
        <v>110</v>
      </c>
      <c r="F150" s="108"/>
      <c r="G150" s="106">
        <v>5204259</v>
      </c>
      <c r="H150" s="107">
        <v>110</v>
      </c>
      <c r="I150" s="108"/>
      <c r="J150" s="106">
        <v>5204259</v>
      </c>
      <c r="K150" s="107">
        <v>110</v>
      </c>
      <c r="L150" s="108"/>
      <c r="M150" s="119"/>
      <c r="N150" s="119"/>
      <c r="O150" s="119"/>
      <c r="P150" s="119"/>
      <c r="Q150" s="119"/>
      <c r="R150" s="119"/>
      <c r="S150" s="119"/>
      <c r="T150" s="119"/>
      <c r="U150" s="130"/>
    </row>
    <row r="151" spans="1:21" s="46" customFormat="1">
      <c r="A151" s="100">
        <v>5305399</v>
      </c>
      <c r="B151" s="101">
        <v>140</v>
      </c>
      <c r="C151" s="102"/>
      <c r="D151" s="103">
        <v>5305315</v>
      </c>
      <c r="E151" s="104">
        <v>120</v>
      </c>
      <c r="F151" s="105"/>
      <c r="G151" s="100">
        <v>5305398</v>
      </c>
      <c r="H151" s="101">
        <v>120</v>
      </c>
      <c r="I151" s="102"/>
      <c r="J151" s="100">
        <v>5305398</v>
      </c>
      <c r="K151" s="101">
        <v>120</v>
      </c>
      <c r="L151" s="102"/>
      <c r="M151" s="119"/>
      <c r="N151" s="119"/>
      <c r="O151" s="119"/>
      <c r="P151" s="119"/>
      <c r="Q151" s="119"/>
      <c r="R151" s="119"/>
      <c r="S151" s="119"/>
      <c r="T151" s="119"/>
      <c r="U151" s="130"/>
    </row>
    <row r="152" spans="1:21" s="46" customFormat="1">
      <c r="A152" s="106">
        <v>5204262</v>
      </c>
      <c r="B152" s="107">
        <v>120</v>
      </c>
      <c r="C152" s="108"/>
      <c r="D152" s="106">
        <v>5204262</v>
      </c>
      <c r="E152" s="107">
        <v>120</v>
      </c>
      <c r="F152" s="108"/>
      <c r="G152" s="106">
        <v>5204262</v>
      </c>
      <c r="H152" s="107">
        <v>120</v>
      </c>
      <c r="I152" s="108"/>
      <c r="J152" s="106">
        <v>5204262</v>
      </c>
      <c r="K152" s="107">
        <v>120</v>
      </c>
      <c r="L152" s="108"/>
      <c r="M152" s="119"/>
      <c r="N152" s="119"/>
      <c r="O152" s="119"/>
      <c r="P152" s="119"/>
      <c r="Q152" s="119"/>
      <c r="R152" s="119"/>
      <c r="S152" s="119"/>
      <c r="T152" s="119"/>
      <c r="U152" s="130"/>
    </row>
    <row r="153" spans="1:21" s="46" customFormat="1">
      <c r="A153" s="100">
        <v>5304363</v>
      </c>
      <c r="B153" s="101">
        <v>120</v>
      </c>
      <c r="C153" s="102"/>
      <c r="D153" s="100">
        <v>5304363</v>
      </c>
      <c r="E153" s="101">
        <v>120</v>
      </c>
      <c r="F153" s="102"/>
      <c r="G153" s="103">
        <v>5305414</v>
      </c>
      <c r="H153" s="104">
        <v>160</v>
      </c>
      <c r="I153" s="105"/>
      <c r="J153" s="103">
        <v>5305414</v>
      </c>
      <c r="K153" s="104">
        <v>160</v>
      </c>
      <c r="L153" s="105"/>
      <c r="M153" s="119"/>
      <c r="N153" s="119"/>
      <c r="O153" s="119"/>
      <c r="P153" s="119"/>
      <c r="Q153" s="119"/>
      <c r="R153" s="119"/>
      <c r="S153" s="119"/>
      <c r="T153" s="119"/>
      <c r="U153" s="130"/>
    </row>
    <row r="154" spans="1:21" s="46" customFormat="1">
      <c r="A154" s="106">
        <v>5304336</v>
      </c>
      <c r="B154" s="107">
        <v>105</v>
      </c>
      <c r="C154" s="108"/>
      <c r="D154" s="106">
        <v>5304336</v>
      </c>
      <c r="E154" s="107">
        <v>105</v>
      </c>
      <c r="F154" s="108"/>
      <c r="G154" s="106">
        <v>5304336</v>
      </c>
      <c r="H154" s="107">
        <v>105</v>
      </c>
      <c r="I154" s="108"/>
      <c r="J154" s="109">
        <v>5305398</v>
      </c>
      <c r="K154" s="110">
        <v>120</v>
      </c>
      <c r="L154" s="111"/>
      <c r="M154" s="119"/>
      <c r="N154" s="119"/>
      <c r="O154" s="119"/>
      <c r="P154" s="119"/>
      <c r="Q154" s="119"/>
      <c r="R154" s="119"/>
      <c r="S154" s="119"/>
      <c r="T154" s="119"/>
      <c r="U154" s="130"/>
    </row>
    <row r="155" spans="1:21" s="46" customFormat="1">
      <c r="A155" s="100">
        <v>5305315</v>
      </c>
      <c r="B155" s="101">
        <v>120</v>
      </c>
      <c r="C155" s="102"/>
      <c r="D155" s="103">
        <v>5305399</v>
      </c>
      <c r="E155" s="104">
        <v>140</v>
      </c>
      <c r="F155" s="105"/>
      <c r="G155" s="100">
        <v>5305274</v>
      </c>
      <c r="H155" s="101">
        <v>120</v>
      </c>
      <c r="I155" s="102"/>
      <c r="J155" s="100">
        <v>5305274</v>
      </c>
      <c r="K155" s="101">
        <v>120</v>
      </c>
      <c r="L155" s="102"/>
      <c r="M155" s="119"/>
      <c r="N155" s="119"/>
      <c r="O155" s="119"/>
      <c r="P155" s="119"/>
      <c r="Q155" s="119"/>
      <c r="R155" s="119"/>
      <c r="S155" s="119"/>
      <c r="T155" s="119"/>
      <c r="U155" s="130"/>
    </row>
    <row r="156" spans="1:21" s="46" customFormat="1">
      <c r="A156" s="106">
        <v>5204259</v>
      </c>
      <c r="B156" s="107">
        <v>110</v>
      </c>
      <c r="C156" s="108"/>
      <c r="D156" s="106">
        <v>5204259</v>
      </c>
      <c r="E156" s="107">
        <v>110</v>
      </c>
      <c r="F156" s="108"/>
      <c r="G156" s="106">
        <v>5204259</v>
      </c>
      <c r="H156" s="107">
        <v>110</v>
      </c>
      <c r="I156" s="108"/>
      <c r="J156" s="106">
        <v>5204259</v>
      </c>
      <c r="K156" s="107">
        <v>110</v>
      </c>
      <c r="L156" s="108"/>
      <c r="M156" s="119"/>
      <c r="N156" s="119"/>
      <c r="O156" s="119"/>
      <c r="P156" s="119"/>
      <c r="Q156" s="119"/>
      <c r="R156" s="119"/>
      <c r="S156" s="119"/>
      <c r="T156" s="119"/>
      <c r="U156" s="130"/>
    </row>
    <row r="157" spans="1:21" s="46" customFormat="1">
      <c r="A157" s="103">
        <v>5305400</v>
      </c>
      <c r="B157" s="104">
        <v>120</v>
      </c>
      <c r="C157" s="105"/>
      <c r="D157" s="100">
        <v>5304336</v>
      </c>
      <c r="E157" s="101">
        <v>105</v>
      </c>
      <c r="F157" s="102"/>
      <c r="G157" s="100">
        <v>5304336</v>
      </c>
      <c r="H157" s="101">
        <v>105</v>
      </c>
      <c r="I157" s="102"/>
      <c r="J157" s="100">
        <v>5304336</v>
      </c>
      <c r="K157" s="101">
        <v>105</v>
      </c>
      <c r="L157" s="102"/>
      <c r="M157" s="119"/>
      <c r="N157" s="119"/>
      <c r="O157" s="119"/>
      <c r="P157" s="119"/>
      <c r="Q157" s="119"/>
      <c r="R157" s="119"/>
      <c r="S157" s="119"/>
      <c r="T157" s="119"/>
      <c r="U157" s="130"/>
    </row>
    <row r="158" spans="1:21" s="46" customFormat="1">
      <c r="A158" s="106">
        <v>5204262</v>
      </c>
      <c r="B158" s="107">
        <v>120</v>
      </c>
      <c r="C158" s="108"/>
      <c r="D158" s="106">
        <v>5204262</v>
      </c>
      <c r="E158" s="107">
        <v>120</v>
      </c>
      <c r="F158" s="108"/>
      <c r="G158" s="106">
        <v>5204262</v>
      </c>
      <c r="H158" s="107">
        <v>120</v>
      </c>
      <c r="I158" s="108"/>
      <c r="J158" s="106">
        <v>5204262</v>
      </c>
      <c r="K158" s="107">
        <v>120</v>
      </c>
      <c r="L158" s="108"/>
      <c r="M158" s="119"/>
      <c r="N158" s="119"/>
      <c r="O158" s="119"/>
      <c r="P158" s="119"/>
      <c r="Q158" s="119"/>
      <c r="R158" s="119"/>
      <c r="S158" s="119"/>
      <c r="T158" s="119"/>
      <c r="U158" s="130"/>
    </row>
    <row r="159" spans="1:21" s="46" customFormat="1">
      <c r="A159" s="100">
        <v>5304363</v>
      </c>
      <c r="B159" s="101">
        <v>120</v>
      </c>
      <c r="C159" s="102"/>
      <c r="D159" s="100">
        <v>5304363</v>
      </c>
      <c r="E159" s="101">
        <v>120</v>
      </c>
      <c r="F159" s="102"/>
      <c r="G159" s="103">
        <v>5305398</v>
      </c>
      <c r="H159" s="104">
        <v>120</v>
      </c>
      <c r="I159" s="105"/>
      <c r="J159" s="100">
        <v>5305399</v>
      </c>
      <c r="K159" s="101">
        <v>140</v>
      </c>
      <c r="L159" s="102"/>
      <c r="M159" s="119"/>
      <c r="N159" s="119"/>
      <c r="O159" s="119"/>
      <c r="P159" s="119"/>
      <c r="Q159" s="119"/>
      <c r="R159" s="119"/>
      <c r="S159" s="119"/>
      <c r="T159" s="119"/>
      <c r="U159" s="130"/>
    </row>
    <row r="160" spans="1:21" s="46" customFormat="1">
      <c r="A160" s="106">
        <v>5204259</v>
      </c>
      <c r="B160" s="107">
        <v>110</v>
      </c>
      <c r="C160" s="108"/>
      <c r="D160" s="106">
        <v>5204259</v>
      </c>
      <c r="E160" s="107">
        <v>110</v>
      </c>
      <c r="F160" s="108"/>
      <c r="G160" s="106">
        <v>5204259</v>
      </c>
      <c r="H160" s="107">
        <v>110</v>
      </c>
      <c r="I160" s="108"/>
      <c r="J160" s="106">
        <v>5204259</v>
      </c>
      <c r="K160" s="107">
        <v>110</v>
      </c>
      <c r="L160" s="108"/>
      <c r="M160" s="119"/>
      <c r="N160" s="119"/>
      <c r="O160" s="119"/>
      <c r="P160" s="119"/>
      <c r="Q160" s="119"/>
      <c r="R160" s="119"/>
      <c r="S160" s="119"/>
      <c r="T160" s="119"/>
      <c r="U160" s="130"/>
    </row>
    <row r="161" spans="1:21" s="46" customFormat="1">
      <c r="A161" s="103">
        <v>5305414</v>
      </c>
      <c r="B161" s="104">
        <v>160</v>
      </c>
      <c r="C161" s="105"/>
      <c r="D161" s="103">
        <v>5305414</v>
      </c>
      <c r="E161" s="104">
        <v>160</v>
      </c>
      <c r="F161" s="105"/>
      <c r="G161" s="100">
        <v>5305274</v>
      </c>
      <c r="H161" s="101">
        <v>120</v>
      </c>
      <c r="I161" s="102"/>
      <c r="J161" s="100">
        <v>5305274</v>
      </c>
      <c r="K161" s="101">
        <v>120</v>
      </c>
      <c r="L161" s="102"/>
      <c r="M161" s="119"/>
      <c r="N161" s="119"/>
      <c r="O161" s="119"/>
      <c r="P161" s="119"/>
      <c r="Q161" s="119"/>
      <c r="R161" s="119"/>
      <c r="S161" s="119"/>
      <c r="T161" s="119"/>
      <c r="U161" s="130"/>
    </row>
    <row r="162" spans="1:21" s="46" customFormat="1">
      <c r="A162" s="109">
        <v>5304336</v>
      </c>
      <c r="B162" s="110">
        <v>105</v>
      </c>
      <c r="C162" s="111"/>
      <c r="D162" s="109">
        <v>5304336</v>
      </c>
      <c r="E162" s="110">
        <v>105</v>
      </c>
      <c r="F162" s="111"/>
      <c r="G162" s="109">
        <v>5304336</v>
      </c>
      <c r="H162" s="110">
        <v>105</v>
      </c>
      <c r="I162" s="111"/>
      <c r="J162" s="103">
        <v>5305315</v>
      </c>
      <c r="K162" s="104">
        <v>120</v>
      </c>
      <c r="L162" s="112"/>
      <c r="M162" s="119"/>
      <c r="N162" s="119"/>
      <c r="O162" s="119"/>
      <c r="P162" s="119"/>
      <c r="Q162" s="119"/>
      <c r="R162" s="119"/>
      <c r="S162" s="119"/>
      <c r="T162" s="119"/>
      <c r="U162" s="130"/>
    </row>
    <row r="163" spans="1:21" s="46" customFormat="1">
      <c r="A163" s="106">
        <v>5204262</v>
      </c>
      <c r="B163" s="107">
        <v>120</v>
      </c>
      <c r="C163" s="108"/>
      <c r="D163" s="106">
        <v>5204262</v>
      </c>
      <c r="E163" s="107">
        <v>120</v>
      </c>
      <c r="F163" s="113"/>
      <c r="G163" s="106">
        <v>5204262</v>
      </c>
      <c r="H163" s="107">
        <v>120</v>
      </c>
      <c r="I163" s="113"/>
      <c r="J163" s="106">
        <v>5204262</v>
      </c>
      <c r="K163" s="107">
        <v>120</v>
      </c>
      <c r="L163" s="108"/>
      <c r="M163" s="119"/>
      <c r="N163" s="119"/>
      <c r="O163" s="119"/>
      <c r="P163" s="119"/>
      <c r="Q163" s="119"/>
      <c r="R163" s="119"/>
      <c r="S163" s="119"/>
      <c r="T163" s="119"/>
      <c r="U163" s="130"/>
    </row>
    <row r="164" spans="1:21" s="46" customFormat="1">
      <c r="A164" s="103">
        <v>5304363</v>
      </c>
      <c r="B164" s="104">
        <v>120</v>
      </c>
      <c r="C164" s="105"/>
      <c r="D164" s="100">
        <v>5305398</v>
      </c>
      <c r="E164" s="101">
        <v>120</v>
      </c>
      <c r="F164" s="102"/>
      <c r="G164" s="114"/>
      <c r="H164" s="115"/>
      <c r="I164" s="116"/>
      <c r="J164" s="114"/>
      <c r="K164" s="115"/>
      <c r="L164" s="116"/>
      <c r="M164" s="119"/>
      <c r="N164" s="119"/>
      <c r="O164" s="119"/>
      <c r="P164" s="119"/>
      <c r="Q164" s="119"/>
      <c r="R164" s="119"/>
      <c r="S164" s="119"/>
      <c r="T164" s="119"/>
      <c r="U164" s="130"/>
    </row>
    <row r="165" spans="1:21" s="46" customFormat="1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30"/>
    </row>
    <row r="166" spans="1:21" s="46" customFormat="1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30"/>
    </row>
    <row r="167" spans="1:21" s="46" customFormat="1">
      <c r="A167" s="173" t="s">
        <v>167</v>
      </c>
      <c r="B167" s="173"/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19"/>
      <c r="N167" s="119"/>
      <c r="O167" s="119"/>
      <c r="P167" s="119"/>
      <c r="Q167" s="119"/>
      <c r="R167" s="119"/>
      <c r="S167" s="119"/>
      <c r="T167" s="119"/>
      <c r="U167" s="130"/>
    </row>
    <row r="168" spans="1:21" s="46" customFormat="1">
      <c r="A168" s="178" t="s">
        <v>179</v>
      </c>
      <c r="B168" s="179"/>
      <c r="C168" s="179"/>
      <c r="D168" s="179"/>
      <c r="E168" s="179"/>
      <c r="F168" s="179"/>
      <c r="G168" s="179"/>
      <c r="H168" s="179"/>
      <c r="I168" s="179"/>
      <c r="J168" s="179"/>
      <c r="K168" s="179"/>
      <c r="L168" s="180"/>
      <c r="M168" s="119"/>
      <c r="N168" s="119"/>
      <c r="O168" s="119"/>
      <c r="P168" s="119"/>
      <c r="Q168" s="119"/>
      <c r="R168" s="119"/>
      <c r="S168" s="119"/>
      <c r="T168" s="119"/>
      <c r="U168" s="130"/>
    </row>
    <row r="169" spans="1:21" s="46" customFormat="1">
      <c r="A169" s="174" t="s">
        <v>171</v>
      </c>
      <c r="B169" s="174"/>
      <c r="C169" s="174"/>
      <c r="D169" s="174"/>
      <c r="E169" s="174"/>
      <c r="F169" s="174"/>
      <c r="G169" s="174" t="s">
        <v>169</v>
      </c>
      <c r="H169" s="174"/>
      <c r="I169" s="174"/>
      <c r="J169" s="174"/>
      <c r="K169" s="174"/>
      <c r="L169" s="174"/>
      <c r="M169" s="119"/>
      <c r="N169" s="119"/>
      <c r="O169" s="119"/>
      <c r="P169" s="119"/>
      <c r="Q169" s="119"/>
      <c r="R169" s="119"/>
      <c r="S169" s="119"/>
      <c r="T169" s="119"/>
      <c r="U169" s="130"/>
    </row>
    <row r="170" spans="1:21" s="46" customFormat="1">
      <c r="A170" s="174" t="s">
        <v>110</v>
      </c>
      <c r="B170" s="174"/>
      <c r="C170" s="174"/>
      <c r="D170" s="174" t="s">
        <v>111</v>
      </c>
      <c r="E170" s="174"/>
      <c r="F170" s="174"/>
      <c r="G170" s="174" t="s">
        <v>112</v>
      </c>
      <c r="H170" s="174"/>
      <c r="I170" s="174"/>
      <c r="J170" s="174" t="s">
        <v>113</v>
      </c>
      <c r="K170" s="174"/>
      <c r="L170" s="174"/>
      <c r="M170" s="119"/>
      <c r="N170" s="119"/>
      <c r="O170" s="119"/>
      <c r="P170" s="119"/>
      <c r="Q170" s="119"/>
      <c r="R170" s="119"/>
      <c r="S170" s="119"/>
      <c r="T170" s="119"/>
      <c r="U170" s="130"/>
    </row>
    <row r="171" spans="1:21" s="46" customFormat="1" ht="36">
      <c r="A171" s="117" t="s">
        <v>114</v>
      </c>
      <c r="B171" s="118" t="s">
        <v>115</v>
      </c>
      <c r="C171" s="118" t="s">
        <v>172</v>
      </c>
      <c r="D171" s="117" t="s">
        <v>114</v>
      </c>
      <c r="E171" s="118" t="s">
        <v>115</v>
      </c>
      <c r="F171" s="118" t="s">
        <v>172</v>
      </c>
      <c r="G171" s="117" t="s">
        <v>114</v>
      </c>
      <c r="H171" s="118" t="s">
        <v>115</v>
      </c>
      <c r="I171" s="118" t="s">
        <v>172</v>
      </c>
      <c r="J171" s="117" t="s">
        <v>114</v>
      </c>
      <c r="K171" s="118" t="s">
        <v>115</v>
      </c>
      <c r="L171" s="118" t="s">
        <v>172</v>
      </c>
      <c r="M171" s="119"/>
      <c r="N171" s="119"/>
      <c r="O171" s="119"/>
      <c r="P171" s="119"/>
      <c r="Q171" s="119"/>
      <c r="R171" s="119"/>
      <c r="S171" s="119"/>
      <c r="T171" s="119"/>
      <c r="U171" s="130"/>
    </row>
    <row r="172" spans="1:21" s="46" customFormat="1">
      <c r="A172" s="106">
        <v>5305398</v>
      </c>
      <c r="B172" s="107">
        <v>120</v>
      </c>
      <c r="C172" s="108"/>
      <c r="D172" s="145">
        <v>5304336</v>
      </c>
      <c r="E172" s="146">
        <v>105</v>
      </c>
      <c r="F172" s="147"/>
      <c r="G172" s="145">
        <v>5304336</v>
      </c>
      <c r="H172" s="146">
        <v>105</v>
      </c>
      <c r="I172" s="147"/>
      <c r="J172" s="145">
        <v>5304336</v>
      </c>
      <c r="K172" s="146">
        <v>105</v>
      </c>
      <c r="L172" s="147"/>
      <c r="M172" s="119"/>
      <c r="N172" s="119"/>
      <c r="O172" s="119"/>
      <c r="P172" s="119"/>
      <c r="Q172" s="119"/>
      <c r="R172" s="119"/>
      <c r="S172" s="119"/>
      <c r="T172" s="119"/>
      <c r="U172" s="130"/>
    </row>
    <row r="173" spans="1:21" s="46" customFormat="1">
      <c r="A173" s="100">
        <v>5204262</v>
      </c>
      <c r="B173" s="101">
        <v>120</v>
      </c>
      <c r="C173" s="102"/>
      <c r="D173" s="100">
        <v>5204262</v>
      </c>
      <c r="E173" s="101">
        <v>120</v>
      </c>
      <c r="F173" s="102"/>
      <c r="G173" s="100">
        <v>5204262</v>
      </c>
      <c r="H173" s="101">
        <v>120</v>
      </c>
      <c r="I173" s="102"/>
      <c r="J173" s="100">
        <v>5204262</v>
      </c>
      <c r="K173" s="101">
        <v>120</v>
      </c>
      <c r="L173" s="102"/>
      <c r="M173" s="119"/>
      <c r="N173" s="119"/>
      <c r="O173" s="119"/>
      <c r="P173" s="119"/>
      <c r="Q173" s="119"/>
      <c r="R173" s="119"/>
      <c r="S173" s="119"/>
      <c r="T173" s="119"/>
      <c r="U173" s="130"/>
    </row>
    <row r="174" spans="1:21" s="46" customFormat="1">
      <c r="A174" s="145">
        <v>5304363</v>
      </c>
      <c r="B174" s="146">
        <v>120</v>
      </c>
      <c r="C174" s="147"/>
      <c r="D174" s="145">
        <v>5304363</v>
      </c>
      <c r="E174" s="146">
        <v>120</v>
      </c>
      <c r="F174" s="147"/>
      <c r="G174" s="133">
        <v>5305315</v>
      </c>
      <c r="H174" s="134">
        <v>120</v>
      </c>
      <c r="I174" s="148"/>
      <c r="J174" s="133">
        <v>5305399</v>
      </c>
      <c r="K174" s="134">
        <v>140</v>
      </c>
      <c r="L174" s="148"/>
      <c r="M174" s="119"/>
      <c r="N174" s="119"/>
      <c r="O174" s="119"/>
      <c r="P174" s="119"/>
      <c r="Q174" s="119"/>
      <c r="R174" s="119"/>
      <c r="S174" s="119"/>
      <c r="T174" s="119"/>
      <c r="U174" s="130"/>
    </row>
    <row r="175" spans="1:21" s="46" customFormat="1">
      <c r="A175" s="106">
        <v>5204259</v>
      </c>
      <c r="B175" s="107">
        <v>110</v>
      </c>
      <c r="C175" s="108"/>
      <c r="D175" s="106">
        <v>5204259</v>
      </c>
      <c r="E175" s="107">
        <v>110</v>
      </c>
      <c r="F175" s="108"/>
      <c r="G175" s="106">
        <v>5204259</v>
      </c>
      <c r="H175" s="107">
        <v>110</v>
      </c>
      <c r="I175" s="108"/>
      <c r="J175" s="106">
        <v>5204259</v>
      </c>
      <c r="K175" s="107">
        <v>110</v>
      </c>
      <c r="L175" s="108"/>
      <c r="M175" s="119"/>
      <c r="N175" s="119"/>
      <c r="O175" s="119"/>
      <c r="P175" s="119"/>
      <c r="Q175" s="119"/>
      <c r="R175" s="119"/>
      <c r="S175" s="119"/>
      <c r="T175" s="119"/>
      <c r="U175" s="130"/>
    </row>
    <row r="176" spans="1:21" s="46" customFormat="1">
      <c r="A176" s="145">
        <v>5305274</v>
      </c>
      <c r="B176" s="146">
        <v>120</v>
      </c>
      <c r="C176" s="149"/>
      <c r="D176" s="145">
        <v>5305274</v>
      </c>
      <c r="E176" s="146">
        <v>120</v>
      </c>
      <c r="F176" s="147"/>
      <c r="G176" s="133">
        <v>5305398</v>
      </c>
      <c r="H176" s="134">
        <v>120</v>
      </c>
      <c r="I176" s="148"/>
      <c r="J176" s="145">
        <v>5305400</v>
      </c>
      <c r="K176" s="146">
        <v>120</v>
      </c>
      <c r="L176" s="147"/>
      <c r="M176" s="119"/>
      <c r="N176" s="119"/>
      <c r="O176" s="119"/>
      <c r="P176" s="119"/>
      <c r="Q176" s="119"/>
      <c r="R176" s="119"/>
      <c r="S176" s="119"/>
      <c r="T176" s="119"/>
      <c r="U176" s="130"/>
    </row>
    <row r="177" spans="1:21" s="46" customFormat="1">
      <c r="A177" s="106">
        <v>5305398</v>
      </c>
      <c r="B177" s="107">
        <v>120</v>
      </c>
      <c r="C177" s="108"/>
      <c r="D177" s="100">
        <v>5304420</v>
      </c>
      <c r="E177" s="101">
        <v>40</v>
      </c>
      <c r="F177" s="102"/>
      <c r="G177" s="106">
        <v>5304363</v>
      </c>
      <c r="H177" s="107">
        <v>120</v>
      </c>
      <c r="I177" s="108"/>
      <c r="J177" s="106">
        <v>5304363</v>
      </c>
      <c r="K177" s="107">
        <v>120</v>
      </c>
      <c r="L177" s="108"/>
      <c r="M177" s="119"/>
      <c r="N177" s="119"/>
      <c r="O177" s="119"/>
      <c r="P177" s="119"/>
      <c r="Q177" s="119"/>
      <c r="R177" s="119"/>
      <c r="S177" s="119"/>
      <c r="T177" s="119"/>
      <c r="U177" s="130"/>
    </row>
    <row r="178" spans="1:21" s="46" customFormat="1">
      <c r="A178" s="145">
        <v>5204262</v>
      </c>
      <c r="B178" s="146">
        <v>120</v>
      </c>
      <c r="C178" s="147"/>
      <c r="D178" s="145">
        <v>5204262</v>
      </c>
      <c r="E178" s="146">
        <v>120</v>
      </c>
      <c r="F178" s="147"/>
      <c r="G178" s="145">
        <v>5204262</v>
      </c>
      <c r="H178" s="146">
        <v>120</v>
      </c>
      <c r="I178" s="147"/>
      <c r="J178" s="145">
        <v>5204262</v>
      </c>
      <c r="K178" s="146">
        <v>120</v>
      </c>
      <c r="L178" s="147"/>
      <c r="M178" s="119"/>
      <c r="N178" s="119"/>
      <c r="O178" s="119"/>
      <c r="P178" s="119"/>
      <c r="Q178" s="119"/>
      <c r="R178" s="119"/>
      <c r="S178" s="119"/>
      <c r="T178" s="119"/>
      <c r="U178" s="130"/>
    </row>
    <row r="179" spans="1:21" s="46" customFormat="1">
      <c r="A179" s="106">
        <v>5304336</v>
      </c>
      <c r="B179" s="107">
        <v>105</v>
      </c>
      <c r="C179" s="108"/>
      <c r="D179" s="106">
        <v>5304336</v>
      </c>
      <c r="E179" s="107">
        <v>105</v>
      </c>
      <c r="F179" s="108"/>
      <c r="G179" s="106">
        <v>5304336</v>
      </c>
      <c r="H179" s="107">
        <v>105</v>
      </c>
      <c r="I179" s="108"/>
      <c r="J179" s="100">
        <v>5305210</v>
      </c>
      <c r="K179" s="101">
        <v>110</v>
      </c>
      <c r="L179" s="102"/>
      <c r="M179" s="119"/>
      <c r="N179" s="119"/>
      <c r="O179" s="119"/>
      <c r="P179" s="119"/>
      <c r="Q179" s="119"/>
      <c r="R179" s="119"/>
      <c r="S179" s="119"/>
      <c r="T179" s="119"/>
      <c r="U179" s="130"/>
    </row>
    <row r="180" spans="1:21" s="46" customFormat="1">
      <c r="A180" s="100">
        <v>5305414</v>
      </c>
      <c r="B180" s="101">
        <v>160</v>
      </c>
      <c r="C180" s="102"/>
      <c r="D180" s="100">
        <v>5305414</v>
      </c>
      <c r="E180" s="101">
        <v>160</v>
      </c>
      <c r="F180" s="102"/>
      <c r="G180" s="145">
        <v>5305398</v>
      </c>
      <c r="H180" s="146">
        <v>120</v>
      </c>
      <c r="I180" s="147"/>
      <c r="J180" s="133">
        <v>5305315</v>
      </c>
      <c r="K180" s="134">
        <v>120</v>
      </c>
      <c r="L180" s="148"/>
      <c r="M180" s="119"/>
      <c r="N180" s="119"/>
      <c r="O180" s="119"/>
      <c r="P180" s="119"/>
      <c r="Q180" s="119"/>
      <c r="R180" s="119"/>
      <c r="S180" s="119"/>
      <c r="T180" s="119"/>
      <c r="U180" s="130"/>
    </row>
    <row r="181" spans="1:21" s="46" customFormat="1">
      <c r="A181" s="106">
        <v>5305399</v>
      </c>
      <c r="B181" s="107">
        <v>140</v>
      </c>
      <c r="C181" s="108"/>
      <c r="D181" s="133">
        <v>5305274</v>
      </c>
      <c r="E181" s="134">
        <v>120</v>
      </c>
      <c r="F181" s="148"/>
      <c r="G181" s="106">
        <v>5305274</v>
      </c>
      <c r="H181" s="107">
        <v>120</v>
      </c>
      <c r="I181" s="108"/>
      <c r="J181" s="100">
        <v>5305264</v>
      </c>
      <c r="K181" s="101">
        <v>105</v>
      </c>
      <c r="L181" s="102"/>
      <c r="M181" s="119"/>
      <c r="N181" s="119"/>
      <c r="O181" s="119"/>
      <c r="P181" s="119"/>
      <c r="Q181" s="119"/>
      <c r="R181" s="119"/>
      <c r="S181" s="119"/>
      <c r="T181" s="119"/>
      <c r="U181" s="130"/>
    </row>
    <row r="182" spans="1:21" s="46" customFormat="1">
      <c r="A182" s="145">
        <v>5204259</v>
      </c>
      <c r="B182" s="146">
        <v>110</v>
      </c>
      <c r="C182" s="147"/>
      <c r="D182" s="145">
        <v>5204259</v>
      </c>
      <c r="E182" s="146">
        <v>110</v>
      </c>
      <c r="F182" s="147"/>
      <c r="G182" s="145">
        <v>5204259</v>
      </c>
      <c r="H182" s="146">
        <v>110</v>
      </c>
      <c r="I182" s="147"/>
      <c r="J182" s="145">
        <v>5204259</v>
      </c>
      <c r="K182" s="146">
        <v>110</v>
      </c>
      <c r="L182" s="147"/>
      <c r="M182" s="119"/>
      <c r="N182" s="119"/>
      <c r="O182" s="119"/>
      <c r="P182" s="119"/>
      <c r="Q182" s="119"/>
      <c r="R182" s="119"/>
      <c r="S182" s="119"/>
      <c r="T182" s="119"/>
      <c r="U182" s="130"/>
    </row>
    <row r="183" spans="1:21" s="46" customFormat="1">
      <c r="A183" s="106">
        <v>5204262</v>
      </c>
      <c r="B183" s="107">
        <v>120</v>
      </c>
      <c r="C183" s="108"/>
      <c r="D183" s="106">
        <v>5204262</v>
      </c>
      <c r="E183" s="107">
        <v>120</v>
      </c>
      <c r="F183" s="108"/>
      <c r="G183" s="106">
        <v>5204262</v>
      </c>
      <c r="H183" s="107">
        <v>120</v>
      </c>
      <c r="I183" s="108"/>
      <c r="J183" s="106">
        <v>5204262</v>
      </c>
      <c r="K183" s="107">
        <v>120</v>
      </c>
      <c r="L183" s="108"/>
      <c r="M183" s="119"/>
      <c r="N183" s="119"/>
      <c r="O183" s="119"/>
      <c r="P183" s="119"/>
      <c r="Q183" s="119"/>
      <c r="R183" s="119"/>
      <c r="S183" s="119"/>
      <c r="T183" s="119"/>
      <c r="U183" s="130"/>
    </row>
    <row r="184" spans="1:21" s="46" customFormat="1">
      <c r="A184" s="145">
        <v>5304363</v>
      </c>
      <c r="B184" s="146">
        <v>120</v>
      </c>
      <c r="C184" s="147"/>
      <c r="D184" s="145">
        <v>5304363</v>
      </c>
      <c r="E184" s="146">
        <v>120</v>
      </c>
      <c r="F184" s="147"/>
      <c r="G184" s="100">
        <v>5305351</v>
      </c>
      <c r="H184" s="101">
        <v>52</v>
      </c>
      <c r="I184" s="102"/>
      <c r="J184" s="100">
        <v>5305351</v>
      </c>
      <c r="K184" s="101">
        <v>52</v>
      </c>
      <c r="L184" s="102"/>
      <c r="M184" s="119"/>
      <c r="N184" s="119"/>
      <c r="O184" s="119"/>
      <c r="P184" s="119"/>
      <c r="Q184" s="119"/>
      <c r="R184" s="119"/>
      <c r="S184" s="119"/>
      <c r="T184" s="119"/>
      <c r="U184" s="130"/>
    </row>
    <row r="185" spans="1:21" s="46" customFormat="1">
      <c r="A185" s="106">
        <v>5304336</v>
      </c>
      <c r="B185" s="107">
        <v>105</v>
      </c>
      <c r="C185" s="108"/>
      <c r="D185" s="106">
        <v>5304336</v>
      </c>
      <c r="E185" s="107">
        <v>105</v>
      </c>
      <c r="F185" s="108"/>
      <c r="G185" s="106">
        <v>5304336</v>
      </c>
      <c r="H185" s="107">
        <v>105</v>
      </c>
      <c r="I185" s="108"/>
      <c r="J185" s="133">
        <v>5305398</v>
      </c>
      <c r="K185" s="134">
        <v>120</v>
      </c>
      <c r="L185" s="148"/>
      <c r="M185" s="119"/>
      <c r="N185" s="119"/>
      <c r="O185" s="119"/>
      <c r="P185" s="119"/>
      <c r="Q185" s="119"/>
      <c r="R185" s="119"/>
      <c r="S185" s="119"/>
      <c r="T185" s="119"/>
      <c r="U185" s="130"/>
    </row>
    <row r="186" spans="1:21" s="46" customFormat="1">
      <c r="A186" s="145">
        <v>5204259</v>
      </c>
      <c r="B186" s="146">
        <v>110</v>
      </c>
      <c r="C186" s="147"/>
      <c r="D186" s="145">
        <v>5204259</v>
      </c>
      <c r="E186" s="146">
        <v>110</v>
      </c>
      <c r="F186" s="147"/>
      <c r="G186" s="145">
        <v>5204259</v>
      </c>
      <c r="H186" s="146">
        <v>110</v>
      </c>
      <c r="I186" s="147"/>
      <c r="J186" s="145">
        <v>5204259</v>
      </c>
      <c r="K186" s="146">
        <v>110</v>
      </c>
      <c r="L186" s="147"/>
      <c r="M186" s="119"/>
      <c r="N186" s="119"/>
      <c r="O186" s="119"/>
      <c r="P186" s="119"/>
      <c r="Q186" s="119"/>
      <c r="R186" s="119"/>
      <c r="S186" s="119"/>
      <c r="T186" s="119"/>
      <c r="U186" s="130"/>
    </row>
    <row r="187" spans="1:21" s="46" customFormat="1">
      <c r="A187" s="106">
        <v>5305414</v>
      </c>
      <c r="B187" s="107">
        <v>160</v>
      </c>
      <c r="C187" s="108"/>
      <c r="D187" s="106">
        <v>5305414</v>
      </c>
      <c r="E187" s="107">
        <v>160</v>
      </c>
      <c r="F187" s="108"/>
      <c r="G187" s="133">
        <v>5305274</v>
      </c>
      <c r="H187" s="134">
        <v>120</v>
      </c>
      <c r="I187" s="148"/>
      <c r="J187" s="133">
        <v>5305274</v>
      </c>
      <c r="K187" s="134">
        <v>120</v>
      </c>
      <c r="L187" s="148"/>
      <c r="M187" s="119"/>
      <c r="N187" s="119"/>
      <c r="O187" s="119"/>
      <c r="P187" s="119"/>
      <c r="Q187" s="119"/>
      <c r="R187" s="119"/>
      <c r="S187" s="119"/>
      <c r="T187" s="119"/>
      <c r="U187" s="130"/>
    </row>
    <row r="188" spans="1:21" s="46" customFormat="1">
      <c r="A188" s="145">
        <v>5305400</v>
      </c>
      <c r="B188" s="146">
        <v>120</v>
      </c>
      <c r="C188" s="147"/>
      <c r="D188" s="100">
        <v>5304336</v>
      </c>
      <c r="E188" s="101">
        <v>105</v>
      </c>
      <c r="F188" s="150"/>
      <c r="G188" s="100">
        <v>5304336</v>
      </c>
      <c r="H188" s="101">
        <v>105</v>
      </c>
      <c r="I188" s="150"/>
      <c r="J188" s="100">
        <v>5304336</v>
      </c>
      <c r="K188" s="101">
        <v>105</v>
      </c>
      <c r="L188" s="102"/>
      <c r="M188" s="119"/>
      <c r="N188" s="119"/>
      <c r="O188" s="119"/>
      <c r="P188" s="119"/>
      <c r="Q188" s="119"/>
      <c r="R188" s="119"/>
      <c r="S188" s="119"/>
      <c r="T188" s="119"/>
      <c r="U188" s="130"/>
    </row>
    <row r="189" spans="1:21" s="46" customFormat="1">
      <c r="A189" s="106">
        <v>5204262</v>
      </c>
      <c r="B189" s="107">
        <v>120</v>
      </c>
      <c r="C189" s="108"/>
      <c r="D189" s="106">
        <v>5204262</v>
      </c>
      <c r="E189" s="107">
        <v>120</v>
      </c>
      <c r="F189" s="108"/>
      <c r="G189" s="106">
        <v>5204262</v>
      </c>
      <c r="H189" s="107">
        <v>120</v>
      </c>
      <c r="I189" s="108"/>
      <c r="J189" s="106">
        <v>5204262</v>
      </c>
      <c r="K189" s="107">
        <v>120</v>
      </c>
      <c r="L189" s="108"/>
      <c r="M189" s="119"/>
      <c r="N189" s="119"/>
      <c r="O189" s="119"/>
      <c r="P189" s="119"/>
      <c r="Q189" s="119"/>
      <c r="R189" s="119"/>
      <c r="S189" s="119"/>
      <c r="T189" s="119"/>
      <c r="U189" s="130"/>
    </row>
    <row r="190" spans="1:21" s="46" customFormat="1">
      <c r="A190" s="145">
        <v>5304363</v>
      </c>
      <c r="B190" s="146">
        <v>120</v>
      </c>
      <c r="C190" s="147"/>
      <c r="D190" s="145">
        <v>5304363</v>
      </c>
      <c r="E190" s="146">
        <v>120</v>
      </c>
      <c r="F190" s="147"/>
      <c r="G190" s="133">
        <v>5305315</v>
      </c>
      <c r="H190" s="134">
        <v>120</v>
      </c>
      <c r="I190" s="148"/>
      <c r="J190" s="100">
        <v>5305399</v>
      </c>
      <c r="K190" s="101">
        <v>140</v>
      </c>
      <c r="L190" s="102"/>
      <c r="M190" s="119"/>
      <c r="N190" s="119"/>
      <c r="O190" s="119"/>
      <c r="P190" s="119"/>
      <c r="Q190" s="119"/>
      <c r="R190" s="119"/>
      <c r="S190" s="119"/>
      <c r="T190" s="119"/>
      <c r="U190" s="130"/>
    </row>
    <row r="191" spans="1:21" s="46" customFormat="1">
      <c r="A191" s="100">
        <v>5305398</v>
      </c>
      <c r="B191" s="101">
        <v>120</v>
      </c>
      <c r="C191" s="102"/>
      <c r="D191" s="106">
        <v>5204250</v>
      </c>
      <c r="E191" s="107">
        <v>30</v>
      </c>
      <c r="F191" s="108"/>
      <c r="G191" s="106">
        <v>5204250</v>
      </c>
      <c r="H191" s="107">
        <v>30</v>
      </c>
      <c r="I191" s="108"/>
      <c r="J191" s="145">
        <v>5305314</v>
      </c>
      <c r="K191" s="146">
        <v>130</v>
      </c>
      <c r="L191" s="147"/>
      <c r="M191" s="119"/>
      <c r="N191" s="119"/>
      <c r="O191" s="119"/>
      <c r="P191" s="119"/>
      <c r="Q191" s="119"/>
      <c r="R191" s="119"/>
      <c r="S191" s="119"/>
      <c r="T191" s="119"/>
      <c r="U191" s="130"/>
    </row>
    <row r="192" spans="1:21" s="46" customFormat="1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30"/>
    </row>
    <row r="193" spans="1:21" s="46" customFormat="1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30"/>
    </row>
    <row r="194" spans="1:21" s="46" customFormat="1">
      <c r="A194" s="173" t="s">
        <v>167</v>
      </c>
      <c r="B194" s="173"/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19"/>
      <c r="N194" s="119"/>
      <c r="O194" s="119"/>
      <c r="P194" s="119"/>
      <c r="Q194" s="119"/>
      <c r="R194" s="119"/>
      <c r="S194" s="119"/>
      <c r="T194" s="119"/>
      <c r="U194" s="130"/>
    </row>
    <row r="195" spans="1:21" s="46" customFormat="1">
      <c r="A195" s="178" t="s">
        <v>179</v>
      </c>
      <c r="B195" s="179"/>
      <c r="C195" s="179"/>
      <c r="D195" s="179"/>
      <c r="E195" s="179"/>
      <c r="F195" s="179"/>
      <c r="G195" s="179"/>
      <c r="H195" s="179"/>
      <c r="I195" s="179"/>
      <c r="J195" s="179"/>
      <c r="K195" s="179"/>
      <c r="L195" s="180"/>
      <c r="M195" s="119"/>
      <c r="N195" s="119"/>
      <c r="O195" s="119"/>
      <c r="P195" s="119"/>
      <c r="Q195" s="119"/>
      <c r="R195" s="119"/>
      <c r="S195" s="119"/>
      <c r="T195" s="119"/>
      <c r="U195" s="130"/>
    </row>
    <row r="196" spans="1:21" s="46" customFormat="1">
      <c r="A196" s="174" t="s">
        <v>170</v>
      </c>
      <c r="B196" s="174"/>
      <c r="C196" s="174"/>
      <c r="D196" s="174"/>
      <c r="E196" s="174"/>
      <c r="F196" s="174"/>
      <c r="G196" s="174" t="s">
        <v>169</v>
      </c>
      <c r="H196" s="174"/>
      <c r="I196" s="174"/>
      <c r="J196" s="174"/>
      <c r="K196" s="174"/>
      <c r="L196" s="174"/>
      <c r="M196" s="119"/>
      <c r="N196" s="119"/>
      <c r="O196" s="119"/>
      <c r="P196" s="119"/>
      <c r="Q196" s="119"/>
      <c r="R196" s="119"/>
      <c r="S196" s="119"/>
      <c r="T196" s="119"/>
      <c r="U196" s="130"/>
    </row>
    <row r="197" spans="1:21" s="46" customFormat="1">
      <c r="A197" s="174" t="s">
        <v>110</v>
      </c>
      <c r="B197" s="174"/>
      <c r="C197" s="174"/>
      <c r="D197" s="174" t="s">
        <v>111</v>
      </c>
      <c r="E197" s="174"/>
      <c r="F197" s="174"/>
      <c r="G197" s="174" t="s">
        <v>112</v>
      </c>
      <c r="H197" s="174"/>
      <c r="I197" s="174"/>
      <c r="J197" s="174" t="s">
        <v>113</v>
      </c>
      <c r="K197" s="174"/>
      <c r="L197" s="174"/>
      <c r="M197" s="119"/>
      <c r="N197" s="119"/>
      <c r="O197" s="119"/>
      <c r="P197" s="119"/>
      <c r="Q197" s="119"/>
      <c r="R197" s="119"/>
      <c r="S197" s="119"/>
      <c r="T197" s="119"/>
      <c r="U197" s="130"/>
    </row>
    <row r="198" spans="1:21" s="46" customFormat="1" ht="36">
      <c r="A198" s="117" t="s">
        <v>114</v>
      </c>
      <c r="B198" s="118" t="s">
        <v>115</v>
      </c>
      <c r="C198" s="118" t="s">
        <v>172</v>
      </c>
      <c r="D198" s="117" t="s">
        <v>114</v>
      </c>
      <c r="E198" s="118" t="s">
        <v>115</v>
      </c>
      <c r="F198" s="118" t="s">
        <v>172</v>
      </c>
      <c r="G198" s="117" t="s">
        <v>114</v>
      </c>
      <c r="H198" s="118" t="s">
        <v>115</v>
      </c>
      <c r="I198" s="118" t="s">
        <v>172</v>
      </c>
      <c r="J198" s="117" t="s">
        <v>114</v>
      </c>
      <c r="K198" s="118" t="s">
        <v>115</v>
      </c>
      <c r="L198" s="118" t="s">
        <v>172</v>
      </c>
      <c r="M198" s="119"/>
      <c r="N198" s="119"/>
      <c r="O198" s="119"/>
      <c r="P198" s="119"/>
      <c r="Q198" s="119"/>
      <c r="R198" s="119"/>
      <c r="S198" s="119"/>
      <c r="T198" s="119"/>
      <c r="U198" s="130"/>
    </row>
    <row r="199" spans="1:21" s="46" customFormat="1">
      <c r="A199" s="103">
        <v>5204262</v>
      </c>
      <c r="B199" s="104">
        <v>120</v>
      </c>
      <c r="C199" s="105"/>
      <c r="D199" s="103">
        <v>5204262</v>
      </c>
      <c r="E199" s="104">
        <v>120</v>
      </c>
      <c r="F199" s="105"/>
      <c r="G199" s="103">
        <v>5204262</v>
      </c>
      <c r="H199" s="104">
        <v>120</v>
      </c>
      <c r="I199" s="105"/>
      <c r="J199" s="103">
        <v>5204262</v>
      </c>
      <c r="K199" s="104">
        <v>120</v>
      </c>
      <c r="L199" s="105"/>
      <c r="M199" s="119"/>
      <c r="N199" s="119"/>
      <c r="O199" s="119"/>
      <c r="P199" s="119"/>
      <c r="Q199" s="119"/>
      <c r="R199" s="119"/>
      <c r="S199" s="119"/>
      <c r="T199" s="119"/>
      <c r="U199" s="130"/>
    </row>
    <row r="200" spans="1:21" s="46" customFormat="1">
      <c r="A200" s="133">
        <v>5304336</v>
      </c>
      <c r="B200" s="134">
        <v>105</v>
      </c>
      <c r="C200" s="148"/>
      <c r="D200" s="133">
        <v>5304336</v>
      </c>
      <c r="E200" s="134">
        <v>105</v>
      </c>
      <c r="F200" s="148"/>
      <c r="G200" s="133">
        <v>5304336</v>
      </c>
      <c r="H200" s="134">
        <v>105</v>
      </c>
      <c r="I200" s="134"/>
      <c r="J200" s="106">
        <v>5305265</v>
      </c>
      <c r="K200" s="107">
        <v>129</v>
      </c>
      <c r="L200" s="107"/>
      <c r="M200" s="119"/>
      <c r="N200" s="119"/>
      <c r="O200" s="119"/>
      <c r="P200" s="119"/>
      <c r="Q200" s="119"/>
      <c r="R200" s="119"/>
      <c r="S200" s="119"/>
      <c r="T200" s="119"/>
      <c r="U200" s="130"/>
    </row>
    <row r="201" spans="1:21" s="46" customFormat="1">
      <c r="A201" s="103">
        <v>5304363</v>
      </c>
      <c r="B201" s="104">
        <v>120</v>
      </c>
      <c r="C201" s="105"/>
      <c r="D201" s="103">
        <v>5304363</v>
      </c>
      <c r="E201" s="104">
        <v>120</v>
      </c>
      <c r="F201" s="105"/>
      <c r="G201" s="122">
        <v>5305398</v>
      </c>
      <c r="H201" s="123">
        <v>120</v>
      </c>
      <c r="I201" s="151"/>
      <c r="J201" s="131">
        <v>5305315</v>
      </c>
      <c r="K201" s="132">
        <v>120</v>
      </c>
      <c r="L201" s="152"/>
      <c r="M201" s="119"/>
      <c r="N201" s="119"/>
      <c r="O201" s="119"/>
      <c r="P201" s="119"/>
      <c r="Q201" s="119"/>
      <c r="R201" s="119"/>
      <c r="S201" s="119"/>
      <c r="T201" s="119"/>
      <c r="U201" s="130"/>
    </row>
    <row r="202" spans="1:21" s="46" customFormat="1">
      <c r="A202" s="133">
        <v>5204259</v>
      </c>
      <c r="B202" s="134">
        <v>110</v>
      </c>
      <c r="C202" s="148"/>
      <c r="D202" s="133">
        <v>5204259</v>
      </c>
      <c r="E202" s="134">
        <v>110</v>
      </c>
      <c r="F202" s="148"/>
      <c r="G202" s="133">
        <v>5204259</v>
      </c>
      <c r="H202" s="134">
        <v>110</v>
      </c>
      <c r="I202" s="148"/>
      <c r="J202" s="133">
        <v>5204259</v>
      </c>
      <c r="K202" s="134">
        <v>110</v>
      </c>
      <c r="L202" s="148"/>
      <c r="M202" s="119"/>
      <c r="N202" s="119"/>
      <c r="O202" s="119"/>
      <c r="P202" s="119"/>
      <c r="Q202" s="119"/>
      <c r="R202" s="119"/>
      <c r="S202" s="119"/>
      <c r="T202" s="119"/>
      <c r="U202" s="130"/>
    </row>
    <row r="203" spans="1:21" s="46" customFormat="1">
      <c r="A203" s="103">
        <v>5305274</v>
      </c>
      <c r="B203" s="104">
        <v>120</v>
      </c>
      <c r="C203" s="105"/>
      <c r="D203" s="103">
        <v>5305274</v>
      </c>
      <c r="E203" s="104">
        <v>120</v>
      </c>
      <c r="F203" s="105"/>
      <c r="G203" s="131">
        <v>5305399</v>
      </c>
      <c r="H203" s="132">
        <v>140</v>
      </c>
      <c r="I203" s="152"/>
      <c r="J203" s="122">
        <v>3185809</v>
      </c>
      <c r="K203" s="123">
        <v>100</v>
      </c>
      <c r="L203" s="151"/>
      <c r="M203" s="119"/>
      <c r="N203" s="119"/>
      <c r="O203" s="119"/>
      <c r="P203" s="119"/>
      <c r="Q203" s="119"/>
      <c r="R203" s="119"/>
      <c r="S203" s="119"/>
      <c r="T203" s="119"/>
      <c r="U203" s="130"/>
    </row>
    <row r="204" spans="1:21" s="46" customFormat="1">
      <c r="A204" s="122">
        <v>5204249</v>
      </c>
      <c r="B204" s="123">
        <v>35</v>
      </c>
      <c r="C204" s="151"/>
      <c r="D204" s="122">
        <v>5204249</v>
      </c>
      <c r="E204" s="123">
        <v>35</v>
      </c>
      <c r="F204" s="151"/>
      <c r="G204" s="133">
        <v>5304363</v>
      </c>
      <c r="H204" s="134">
        <v>120</v>
      </c>
      <c r="I204" s="148"/>
      <c r="J204" s="133">
        <v>5304363</v>
      </c>
      <c r="K204" s="134">
        <v>120</v>
      </c>
      <c r="L204" s="148"/>
      <c r="M204" s="119"/>
      <c r="N204" s="119"/>
      <c r="O204" s="119"/>
      <c r="P204" s="119"/>
      <c r="Q204" s="119"/>
      <c r="R204" s="119"/>
      <c r="S204" s="119"/>
      <c r="T204" s="119"/>
      <c r="U204" s="130"/>
    </row>
    <row r="205" spans="1:21" s="46" customFormat="1">
      <c r="A205" s="103">
        <v>5204262</v>
      </c>
      <c r="B205" s="104">
        <v>120</v>
      </c>
      <c r="C205" s="105"/>
      <c r="D205" s="103">
        <v>5204262</v>
      </c>
      <c r="E205" s="104">
        <v>120</v>
      </c>
      <c r="F205" s="105"/>
      <c r="G205" s="103">
        <v>5204262</v>
      </c>
      <c r="H205" s="104">
        <v>120</v>
      </c>
      <c r="I205" s="105"/>
      <c r="J205" s="103">
        <v>5204262</v>
      </c>
      <c r="K205" s="104">
        <v>120</v>
      </c>
      <c r="L205" s="105"/>
      <c r="M205" s="119"/>
      <c r="N205" s="119"/>
      <c r="O205" s="119"/>
      <c r="P205" s="119"/>
      <c r="Q205" s="119"/>
      <c r="R205" s="119"/>
      <c r="S205" s="119"/>
      <c r="T205" s="119"/>
      <c r="U205" s="130"/>
    </row>
    <row r="206" spans="1:21" s="46" customFormat="1">
      <c r="A206" s="122">
        <v>5305398</v>
      </c>
      <c r="B206" s="123">
        <v>120</v>
      </c>
      <c r="C206" s="151"/>
      <c r="D206" s="133">
        <v>5305414</v>
      </c>
      <c r="E206" s="134">
        <v>160</v>
      </c>
      <c r="F206" s="148"/>
      <c r="G206" s="133">
        <v>5305414</v>
      </c>
      <c r="H206" s="134">
        <v>160</v>
      </c>
      <c r="I206" s="148"/>
      <c r="J206" s="131">
        <v>5304367</v>
      </c>
      <c r="K206" s="132">
        <v>75</v>
      </c>
      <c r="L206" s="152"/>
      <c r="M206" s="119"/>
      <c r="N206" s="119"/>
      <c r="O206" s="119"/>
      <c r="P206" s="119"/>
      <c r="Q206" s="119"/>
      <c r="R206" s="119"/>
      <c r="S206" s="119"/>
      <c r="T206" s="119"/>
      <c r="U206" s="130"/>
    </row>
    <row r="207" spans="1:21" s="46" customFormat="1">
      <c r="A207" s="103">
        <v>5205316</v>
      </c>
      <c r="B207" s="104">
        <v>110</v>
      </c>
      <c r="C207" s="105"/>
      <c r="D207" s="103">
        <v>5205316</v>
      </c>
      <c r="E207" s="104">
        <v>110</v>
      </c>
      <c r="F207" s="105"/>
      <c r="G207" s="122">
        <v>5204251</v>
      </c>
      <c r="H207" s="123">
        <v>38</v>
      </c>
      <c r="I207" s="151"/>
      <c r="J207" s="106">
        <v>5305398</v>
      </c>
      <c r="K207" s="107">
        <v>120</v>
      </c>
      <c r="L207" s="108"/>
      <c r="M207" s="119"/>
      <c r="N207" s="119"/>
      <c r="O207" s="119"/>
      <c r="P207" s="119"/>
      <c r="Q207" s="119"/>
      <c r="R207" s="119"/>
      <c r="S207" s="119"/>
      <c r="T207" s="119"/>
      <c r="U207" s="130"/>
    </row>
    <row r="208" spans="1:21" s="46" customFormat="1">
      <c r="A208" s="131">
        <v>5304336</v>
      </c>
      <c r="B208" s="132">
        <v>105</v>
      </c>
      <c r="C208" s="152"/>
      <c r="D208" s="131">
        <v>5304336</v>
      </c>
      <c r="E208" s="132">
        <v>105</v>
      </c>
      <c r="F208" s="152"/>
      <c r="G208" s="131">
        <v>5304336</v>
      </c>
      <c r="H208" s="132">
        <v>105</v>
      </c>
      <c r="I208" s="152"/>
      <c r="J208" s="133">
        <v>5305315</v>
      </c>
      <c r="K208" s="134">
        <v>120</v>
      </c>
      <c r="L208" s="148"/>
      <c r="M208" s="119"/>
      <c r="N208" s="119"/>
      <c r="O208" s="119"/>
      <c r="P208" s="119"/>
      <c r="Q208" s="119"/>
      <c r="R208" s="119"/>
      <c r="S208" s="119"/>
      <c r="T208" s="119"/>
      <c r="U208" s="130"/>
    </row>
    <row r="209" spans="1:21" s="46" customFormat="1">
      <c r="A209" s="103">
        <v>5204259</v>
      </c>
      <c r="B209" s="104">
        <v>110</v>
      </c>
      <c r="C209" s="105"/>
      <c r="D209" s="103">
        <v>5204259</v>
      </c>
      <c r="E209" s="104">
        <v>110</v>
      </c>
      <c r="F209" s="105"/>
      <c r="G209" s="103">
        <v>5204259</v>
      </c>
      <c r="H209" s="104">
        <v>110</v>
      </c>
      <c r="I209" s="105"/>
      <c r="J209" s="103">
        <v>5204259</v>
      </c>
      <c r="K209" s="104">
        <v>110</v>
      </c>
      <c r="L209" s="105"/>
      <c r="M209" s="119"/>
      <c r="N209" s="119"/>
      <c r="O209" s="119"/>
      <c r="P209" s="119"/>
      <c r="Q209" s="119"/>
      <c r="R209" s="119"/>
      <c r="S209" s="119"/>
      <c r="T209" s="119"/>
      <c r="U209" s="130"/>
    </row>
    <row r="210" spans="1:21" s="46" customFormat="1">
      <c r="A210" s="133">
        <v>5305274</v>
      </c>
      <c r="B210" s="134">
        <v>120</v>
      </c>
      <c r="C210" s="148"/>
      <c r="D210" s="133">
        <v>5305274</v>
      </c>
      <c r="E210" s="134">
        <v>120</v>
      </c>
      <c r="F210" s="148"/>
      <c r="G210" s="131">
        <v>5305399</v>
      </c>
      <c r="H210" s="132">
        <v>140</v>
      </c>
      <c r="I210" s="152"/>
      <c r="J210" s="133">
        <v>5305400</v>
      </c>
      <c r="K210" s="134">
        <v>120</v>
      </c>
      <c r="L210" s="148"/>
      <c r="M210" s="119"/>
      <c r="N210" s="119"/>
      <c r="O210" s="119"/>
      <c r="P210" s="119"/>
      <c r="Q210" s="119"/>
      <c r="R210" s="119"/>
      <c r="S210" s="119"/>
      <c r="T210" s="119"/>
      <c r="U210" s="130"/>
    </row>
    <row r="211" spans="1:21" s="46" customFormat="1">
      <c r="A211" s="131">
        <v>5304420</v>
      </c>
      <c r="B211" s="132">
        <v>40</v>
      </c>
      <c r="C211" s="152"/>
      <c r="D211" s="103">
        <v>5304336</v>
      </c>
      <c r="E211" s="104">
        <v>105</v>
      </c>
      <c r="F211" s="105"/>
      <c r="G211" s="103">
        <v>5304336</v>
      </c>
      <c r="H211" s="104">
        <v>105</v>
      </c>
      <c r="I211" s="105"/>
      <c r="J211" s="103">
        <v>5304336</v>
      </c>
      <c r="K211" s="104">
        <v>105</v>
      </c>
      <c r="L211" s="105"/>
      <c r="M211" s="119"/>
      <c r="N211" s="119"/>
      <c r="O211" s="119"/>
      <c r="P211" s="119"/>
      <c r="Q211" s="119"/>
      <c r="R211" s="119"/>
      <c r="S211" s="119"/>
      <c r="T211" s="119"/>
      <c r="U211" s="130"/>
    </row>
    <row r="212" spans="1:21" s="46" customFormat="1">
      <c r="A212" s="133">
        <v>5204262</v>
      </c>
      <c r="B212" s="134">
        <v>120</v>
      </c>
      <c r="C212" s="148"/>
      <c r="D212" s="133">
        <v>5204262</v>
      </c>
      <c r="E212" s="134">
        <v>120</v>
      </c>
      <c r="F212" s="148"/>
      <c r="G212" s="133">
        <v>5204262</v>
      </c>
      <c r="H212" s="134">
        <v>120</v>
      </c>
      <c r="I212" s="148"/>
      <c r="J212" s="133">
        <v>5204262</v>
      </c>
      <c r="K212" s="134">
        <v>120</v>
      </c>
      <c r="L212" s="148"/>
      <c r="M212" s="119"/>
      <c r="N212" s="119"/>
      <c r="O212" s="119"/>
      <c r="P212" s="119"/>
      <c r="Q212" s="119"/>
      <c r="R212" s="119"/>
      <c r="S212" s="119"/>
      <c r="T212" s="119"/>
      <c r="U212" s="130"/>
    </row>
    <row r="213" spans="1:21" s="46" customFormat="1">
      <c r="A213" s="103">
        <v>5304363</v>
      </c>
      <c r="B213" s="104">
        <v>120</v>
      </c>
      <c r="C213" s="105"/>
      <c r="D213" s="103">
        <v>5304363</v>
      </c>
      <c r="E213" s="104">
        <v>120</v>
      </c>
      <c r="F213" s="105"/>
      <c r="G213" s="131">
        <v>5305313</v>
      </c>
      <c r="H213" s="132">
        <v>100</v>
      </c>
      <c r="I213" s="152"/>
      <c r="J213" s="122">
        <v>5305353</v>
      </c>
      <c r="K213" s="123">
        <v>60</v>
      </c>
      <c r="L213" s="151"/>
      <c r="M213" s="119"/>
      <c r="N213" s="119"/>
      <c r="O213" s="119"/>
      <c r="P213" s="119"/>
      <c r="Q213" s="119"/>
      <c r="R213" s="119"/>
      <c r="S213" s="119"/>
      <c r="T213" s="119"/>
      <c r="U213" s="130"/>
    </row>
    <row r="214" spans="1:21" s="46" customFormat="1">
      <c r="A214" s="133">
        <v>3387442</v>
      </c>
      <c r="B214" s="134">
        <v>46</v>
      </c>
      <c r="C214" s="148"/>
      <c r="D214" s="133">
        <v>3387442</v>
      </c>
      <c r="E214" s="134">
        <v>46</v>
      </c>
      <c r="F214" s="148"/>
      <c r="G214" s="133">
        <v>3387442</v>
      </c>
      <c r="H214" s="134">
        <v>46</v>
      </c>
      <c r="I214" s="148"/>
      <c r="J214" s="103">
        <v>5305209</v>
      </c>
      <c r="K214" s="104">
        <v>80</v>
      </c>
      <c r="L214" s="105"/>
      <c r="M214" s="119"/>
      <c r="N214" s="119"/>
      <c r="O214" s="119"/>
      <c r="P214" s="119"/>
      <c r="Q214" s="119"/>
      <c r="R214" s="119"/>
      <c r="S214" s="119"/>
      <c r="T214" s="119"/>
      <c r="U214" s="130"/>
    </row>
    <row r="215" spans="1:21" s="46" customFormat="1">
      <c r="A215" s="103">
        <v>5305346</v>
      </c>
      <c r="B215" s="104">
        <v>50</v>
      </c>
      <c r="C215" s="105"/>
      <c r="D215" s="131">
        <v>5305711</v>
      </c>
      <c r="E215" s="132">
        <v>60</v>
      </c>
      <c r="F215" s="152"/>
      <c r="G215" s="114"/>
      <c r="H215" s="115"/>
      <c r="I215" s="116"/>
      <c r="J215" s="114"/>
      <c r="K215" s="115"/>
      <c r="L215" s="116"/>
      <c r="M215" s="119"/>
      <c r="N215" s="119"/>
      <c r="O215" s="119"/>
      <c r="P215" s="119"/>
      <c r="Q215" s="119"/>
      <c r="R215" s="119"/>
      <c r="S215" s="119"/>
      <c r="T215" s="119"/>
      <c r="U215" s="130"/>
    </row>
    <row r="216" spans="1:21" s="46" customFormat="1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30"/>
    </row>
    <row r="217" spans="1:21" s="46" customFormat="1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30"/>
    </row>
    <row r="218" spans="1:21" s="46" customFormat="1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30"/>
    </row>
    <row r="219" spans="1:21" s="46" customFormat="1">
      <c r="A219" s="181" t="s">
        <v>167</v>
      </c>
      <c r="B219" s="182"/>
      <c r="C219" s="182"/>
      <c r="D219" s="182"/>
      <c r="E219" s="182"/>
      <c r="F219" s="182"/>
      <c r="G219" s="182"/>
      <c r="H219" s="182"/>
      <c r="I219" s="182"/>
      <c r="J219" s="182"/>
      <c r="K219" s="182"/>
      <c r="L219" s="183"/>
      <c r="M219" s="119"/>
      <c r="N219" s="119"/>
      <c r="O219" s="119"/>
      <c r="P219" s="119"/>
      <c r="Q219" s="119"/>
      <c r="R219" s="119"/>
      <c r="S219" s="119"/>
      <c r="T219" s="119"/>
      <c r="U219" s="130"/>
    </row>
    <row r="220" spans="1:21" s="46" customFormat="1">
      <c r="A220" s="178" t="s">
        <v>164</v>
      </c>
      <c r="B220" s="179"/>
      <c r="C220" s="179"/>
      <c r="D220" s="179"/>
      <c r="E220" s="179"/>
      <c r="F220" s="179"/>
      <c r="G220" s="179"/>
      <c r="H220" s="179"/>
      <c r="I220" s="179"/>
      <c r="J220" s="179"/>
      <c r="K220" s="179"/>
      <c r="L220" s="180"/>
      <c r="M220" s="119"/>
      <c r="N220" s="119"/>
      <c r="O220" s="119"/>
      <c r="P220" s="119"/>
      <c r="Q220" s="119"/>
      <c r="R220" s="119"/>
      <c r="S220" s="119"/>
      <c r="T220" s="119"/>
      <c r="U220" s="130"/>
    </row>
    <row r="221" spans="1:21" s="46" customFormat="1">
      <c r="A221" s="178" t="s">
        <v>168</v>
      </c>
      <c r="B221" s="179"/>
      <c r="C221" s="179"/>
      <c r="D221" s="179"/>
      <c r="E221" s="179"/>
      <c r="F221" s="180"/>
      <c r="G221" s="178" t="s">
        <v>169</v>
      </c>
      <c r="H221" s="179"/>
      <c r="I221" s="179"/>
      <c r="J221" s="179"/>
      <c r="K221" s="179"/>
      <c r="L221" s="180"/>
      <c r="M221" s="119"/>
      <c r="N221" s="119"/>
      <c r="O221" s="119"/>
      <c r="P221" s="119"/>
      <c r="Q221" s="119"/>
      <c r="R221" s="119"/>
      <c r="S221" s="119"/>
      <c r="T221" s="119"/>
      <c r="U221" s="130"/>
    </row>
    <row r="222" spans="1:21" s="46" customFormat="1">
      <c r="A222" s="178" t="s">
        <v>110</v>
      </c>
      <c r="B222" s="179"/>
      <c r="C222" s="180"/>
      <c r="D222" s="178" t="s">
        <v>111</v>
      </c>
      <c r="E222" s="179"/>
      <c r="F222" s="180"/>
      <c r="G222" s="178" t="s">
        <v>112</v>
      </c>
      <c r="H222" s="179"/>
      <c r="I222" s="180"/>
      <c r="J222" s="178" t="s">
        <v>113</v>
      </c>
      <c r="K222" s="179"/>
      <c r="L222" s="180"/>
      <c r="M222" s="119"/>
      <c r="N222" s="119"/>
      <c r="O222" s="119"/>
      <c r="P222" s="119"/>
      <c r="Q222" s="119"/>
      <c r="R222" s="119"/>
      <c r="S222" s="119"/>
      <c r="T222" s="119"/>
      <c r="U222" s="130"/>
    </row>
    <row r="223" spans="1:21" s="46" customFormat="1" ht="36">
      <c r="A223" s="117" t="s">
        <v>114</v>
      </c>
      <c r="B223" s="118" t="s">
        <v>115</v>
      </c>
      <c r="C223" s="118" t="s">
        <v>172</v>
      </c>
      <c r="D223" s="117" t="s">
        <v>114</v>
      </c>
      <c r="E223" s="118" t="s">
        <v>115</v>
      </c>
      <c r="F223" s="118" t="s">
        <v>172</v>
      </c>
      <c r="G223" s="117" t="s">
        <v>114</v>
      </c>
      <c r="H223" s="118" t="s">
        <v>115</v>
      </c>
      <c r="I223" s="118" t="s">
        <v>172</v>
      </c>
      <c r="J223" s="117" t="s">
        <v>114</v>
      </c>
      <c r="K223" s="118" t="s">
        <v>115</v>
      </c>
      <c r="L223" s="118" t="s">
        <v>172</v>
      </c>
      <c r="M223" s="119"/>
      <c r="N223" s="119"/>
      <c r="O223" s="119"/>
      <c r="P223" s="119"/>
      <c r="Q223" s="119"/>
      <c r="R223" s="119"/>
      <c r="S223" s="119"/>
      <c r="T223" s="119"/>
      <c r="U223" s="130"/>
    </row>
    <row r="224" spans="1:21" s="46" customFormat="1">
      <c r="A224" s="109">
        <v>5305218</v>
      </c>
      <c r="B224" s="110">
        <v>160</v>
      </c>
      <c r="C224" s="110"/>
      <c r="D224" s="100">
        <v>5205366</v>
      </c>
      <c r="E224" s="101">
        <v>100</v>
      </c>
      <c r="F224" s="101"/>
      <c r="G224" s="100">
        <v>5205366</v>
      </c>
      <c r="H224" s="101">
        <v>100</v>
      </c>
      <c r="I224" s="101"/>
      <c r="J224" s="109">
        <v>5305415</v>
      </c>
      <c r="K224" s="110">
        <v>135</v>
      </c>
      <c r="L224" s="110"/>
      <c r="M224" s="119"/>
      <c r="N224" s="119"/>
      <c r="O224" s="119"/>
      <c r="P224" s="119"/>
      <c r="Q224" s="119"/>
      <c r="R224" s="119"/>
      <c r="S224" s="119"/>
      <c r="T224" s="119"/>
      <c r="U224" s="130"/>
    </row>
    <row r="225" spans="1:21" s="46" customFormat="1">
      <c r="A225" s="103">
        <v>5205213</v>
      </c>
      <c r="B225" s="104">
        <v>135</v>
      </c>
      <c r="C225" s="104"/>
      <c r="D225" s="103">
        <v>5205213</v>
      </c>
      <c r="E225" s="104">
        <v>135</v>
      </c>
      <c r="F225" s="104"/>
      <c r="G225" s="122">
        <v>5305355</v>
      </c>
      <c r="H225" s="123">
        <v>120</v>
      </c>
      <c r="I225" s="123"/>
      <c r="J225" s="103">
        <v>5305341</v>
      </c>
      <c r="K225" s="104">
        <v>160</v>
      </c>
      <c r="L225" s="104"/>
      <c r="M225" s="119"/>
      <c r="N225" s="119"/>
      <c r="O225" s="119"/>
      <c r="P225" s="119"/>
      <c r="Q225" s="119"/>
      <c r="R225" s="119"/>
      <c r="S225" s="119"/>
      <c r="T225" s="119"/>
      <c r="U225" s="130"/>
    </row>
    <row r="226" spans="1:21" s="46" customFormat="1">
      <c r="A226" s="109">
        <v>5305219</v>
      </c>
      <c r="B226" s="110">
        <v>180</v>
      </c>
      <c r="C226" s="110"/>
      <c r="D226" s="133">
        <v>5205217</v>
      </c>
      <c r="E226" s="134">
        <v>140</v>
      </c>
      <c r="F226" s="134"/>
      <c r="G226" s="133">
        <v>5205217</v>
      </c>
      <c r="H226" s="134">
        <v>140</v>
      </c>
      <c r="I226" s="134"/>
      <c r="J226" s="109">
        <v>5305300</v>
      </c>
      <c r="K226" s="110">
        <v>150</v>
      </c>
      <c r="L226" s="110"/>
      <c r="M226" s="119"/>
      <c r="N226" s="119"/>
      <c r="O226" s="119"/>
      <c r="P226" s="119"/>
      <c r="Q226" s="119"/>
      <c r="R226" s="119"/>
      <c r="S226" s="119"/>
      <c r="T226" s="119"/>
      <c r="U226" s="130"/>
    </row>
    <row r="227" spans="1:21" s="46" customFormat="1">
      <c r="A227" s="100">
        <v>5205236</v>
      </c>
      <c r="B227" s="101">
        <v>110</v>
      </c>
      <c r="C227" s="101"/>
      <c r="D227" s="100">
        <v>5205236</v>
      </c>
      <c r="E227" s="101">
        <v>110</v>
      </c>
      <c r="F227" s="101"/>
      <c r="G227" s="122">
        <v>5205234</v>
      </c>
      <c r="H227" s="123">
        <v>100</v>
      </c>
      <c r="I227" s="123"/>
      <c r="J227" s="100">
        <v>5205273</v>
      </c>
      <c r="K227" s="101">
        <v>150</v>
      </c>
      <c r="L227" s="101"/>
      <c r="M227" s="119"/>
      <c r="N227" s="119"/>
      <c r="O227" s="119"/>
      <c r="P227" s="119"/>
      <c r="Q227" s="119"/>
      <c r="R227" s="119"/>
      <c r="S227" s="130"/>
      <c r="T227" s="130"/>
      <c r="U227" s="130"/>
    </row>
    <row r="228" spans="1:21" s="46" customFormat="1">
      <c r="A228" s="109">
        <v>5305218</v>
      </c>
      <c r="B228" s="110">
        <v>160</v>
      </c>
      <c r="C228" s="110"/>
      <c r="D228" s="103">
        <v>5205366</v>
      </c>
      <c r="E228" s="104">
        <v>100</v>
      </c>
      <c r="F228" s="104"/>
      <c r="G228" s="103">
        <v>5205366</v>
      </c>
      <c r="H228" s="104">
        <v>100</v>
      </c>
      <c r="I228" s="104"/>
      <c r="J228" s="103">
        <v>5205366</v>
      </c>
      <c r="K228" s="104">
        <v>100</v>
      </c>
      <c r="L228" s="104"/>
      <c r="M228" s="119"/>
      <c r="N228" s="119"/>
      <c r="O228" s="119"/>
      <c r="P228" s="119"/>
      <c r="Q228" s="119"/>
      <c r="R228" s="119"/>
      <c r="S228" s="130"/>
      <c r="T228" s="130"/>
      <c r="U228" s="130"/>
    </row>
    <row r="229" spans="1:21" s="46" customFormat="1">
      <c r="A229" s="100">
        <v>5205212</v>
      </c>
      <c r="B229" s="101">
        <v>135</v>
      </c>
      <c r="C229" s="101"/>
      <c r="D229" s="100">
        <v>5205212</v>
      </c>
      <c r="E229" s="101">
        <v>135</v>
      </c>
      <c r="F229" s="101"/>
      <c r="G229" s="122">
        <v>5305288</v>
      </c>
      <c r="H229" s="123">
        <v>200</v>
      </c>
      <c r="I229" s="123"/>
      <c r="J229" s="100">
        <v>5305415</v>
      </c>
      <c r="K229" s="101">
        <v>135</v>
      </c>
      <c r="L229" s="101"/>
      <c r="M229" s="119"/>
      <c r="N229" s="119"/>
      <c r="O229" s="119"/>
      <c r="P229" s="119"/>
      <c r="Q229" s="119"/>
      <c r="R229" s="119"/>
      <c r="S229" s="130"/>
      <c r="T229" s="130"/>
      <c r="U229" s="130"/>
    </row>
    <row r="230" spans="1:21" s="46" customFormat="1">
      <c r="A230" s="109">
        <v>5205213</v>
      </c>
      <c r="B230" s="110">
        <v>135</v>
      </c>
      <c r="C230" s="110"/>
      <c r="D230" s="109">
        <v>5205213</v>
      </c>
      <c r="E230" s="110">
        <v>135</v>
      </c>
      <c r="F230" s="110"/>
      <c r="G230" s="103">
        <v>5205366</v>
      </c>
      <c r="H230" s="104">
        <v>100</v>
      </c>
      <c r="I230" s="104"/>
      <c r="J230" s="103">
        <v>5205366</v>
      </c>
      <c r="K230" s="104">
        <v>100</v>
      </c>
      <c r="L230" s="104"/>
      <c r="M230" s="119"/>
      <c r="N230" s="119"/>
      <c r="O230" s="119"/>
      <c r="P230" s="119"/>
      <c r="Q230" s="119"/>
      <c r="R230" s="119"/>
      <c r="S230" s="130"/>
      <c r="T230" s="130"/>
      <c r="U230" s="130"/>
    </row>
    <row r="231" spans="1:21" s="46" customFormat="1">
      <c r="A231" s="103">
        <v>5305218</v>
      </c>
      <c r="B231" s="104">
        <v>160</v>
      </c>
      <c r="C231" s="104"/>
      <c r="D231" s="100">
        <v>5305355</v>
      </c>
      <c r="E231" s="101">
        <v>120</v>
      </c>
      <c r="F231" s="101"/>
      <c r="G231" s="133">
        <v>5305341</v>
      </c>
      <c r="H231" s="134">
        <v>160</v>
      </c>
      <c r="I231" s="134"/>
      <c r="J231" s="122">
        <v>5305415</v>
      </c>
      <c r="K231" s="123">
        <v>135</v>
      </c>
      <c r="L231" s="123"/>
      <c r="M231" s="119"/>
      <c r="N231" s="119"/>
      <c r="O231" s="119"/>
      <c r="P231" s="119"/>
      <c r="Q231" s="119"/>
      <c r="R231" s="119"/>
      <c r="S231" s="130"/>
      <c r="T231" s="130"/>
      <c r="U231" s="130"/>
    </row>
    <row r="232" spans="1:21" s="46" customFormat="1">
      <c r="A232" s="109">
        <v>5305219</v>
      </c>
      <c r="B232" s="110">
        <v>180</v>
      </c>
      <c r="C232" s="110"/>
      <c r="D232" s="109">
        <v>5205217</v>
      </c>
      <c r="E232" s="110">
        <v>140</v>
      </c>
      <c r="F232" s="110"/>
      <c r="G232" s="109">
        <v>5205217</v>
      </c>
      <c r="H232" s="110">
        <v>140</v>
      </c>
      <c r="I232" s="110"/>
      <c r="J232" s="100">
        <v>5305300</v>
      </c>
      <c r="K232" s="101">
        <v>150</v>
      </c>
      <c r="L232" s="101"/>
      <c r="M232" s="119"/>
      <c r="N232" s="119"/>
      <c r="O232" s="119"/>
      <c r="P232" s="119"/>
      <c r="Q232" s="119"/>
      <c r="R232" s="119"/>
      <c r="S232" s="130"/>
      <c r="T232" s="130"/>
      <c r="U232" s="130"/>
    </row>
    <row r="233" spans="1:21" s="46" customFormat="1">
      <c r="A233" s="100">
        <v>5205236</v>
      </c>
      <c r="B233" s="101">
        <v>110</v>
      </c>
      <c r="C233" s="101"/>
      <c r="D233" s="100">
        <v>5205236</v>
      </c>
      <c r="E233" s="101">
        <v>110</v>
      </c>
      <c r="F233" s="101"/>
      <c r="G233" s="103">
        <v>5205234</v>
      </c>
      <c r="H233" s="104">
        <v>100</v>
      </c>
      <c r="I233" s="104"/>
      <c r="J233" s="122">
        <v>5205273</v>
      </c>
      <c r="K233" s="123">
        <v>150</v>
      </c>
      <c r="L233" s="123"/>
      <c r="M233" s="119"/>
      <c r="N233" s="119"/>
      <c r="O233" s="119"/>
      <c r="P233" s="119"/>
      <c r="Q233" s="119"/>
      <c r="R233" s="119"/>
      <c r="S233" s="130"/>
      <c r="T233" s="130"/>
      <c r="U233" s="130"/>
    </row>
    <row r="234" spans="1:21" s="46" customFormat="1">
      <c r="A234" s="109">
        <v>5205213</v>
      </c>
      <c r="B234" s="110">
        <v>135</v>
      </c>
      <c r="C234" s="110"/>
      <c r="D234" s="109">
        <v>5205213</v>
      </c>
      <c r="E234" s="110">
        <v>135</v>
      </c>
      <c r="F234" s="110"/>
      <c r="G234" s="133">
        <v>5305298</v>
      </c>
      <c r="H234" s="134">
        <v>320</v>
      </c>
      <c r="I234" s="134"/>
      <c r="J234" s="133">
        <v>5305298</v>
      </c>
      <c r="K234" s="134">
        <v>320</v>
      </c>
      <c r="L234" s="134"/>
      <c r="M234" s="119"/>
      <c r="N234" s="119"/>
      <c r="O234" s="119"/>
      <c r="P234" s="119"/>
      <c r="Q234" s="119"/>
      <c r="R234" s="119"/>
      <c r="S234" s="130"/>
      <c r="T234" s="130"/>
      <c r="U234" s="130"/>
    </row>
    <row r="235" spans="1:21" s="46" customFormat="1">
      <c r="A235" s="103">
        <v>5305218</v>
      </c>
      <c r="B235" s="104">
        <v>160</v>
      </c>
      <c r="C235" s="104"/>
      <c r="D235" s="100">
        <v>5205366</v>
      </c>
      <c r="E235" s="101">
        <v>100</v>
      </c>
      <c r="F235" s="101"/>
      <c r="G235" s="100">
        <v>5205366</v>
      </c>
      <c r="H235" s="101">
        <v>100</v>
      </c>
      <c r="I235" s="101"/>
      <c r="J235" s="122">
        <v>5305288</v>
      </c>
      <c r="K235" s="123">
        <v>200</v>
      </c>
      <c r="L235" s="123"/>
      <c r="M235" s="119"/>
      <c r="N235" s="119"/>
      <c r="O235" s="119"/>
      <c r="P235" s="119"/>
      <c r="Q235" s="119"/>
      <c r="R235" s="119"/>
      <c r="S235" s="130"/>
      <c r="T235" s="130"/>
      <c r="U235" s="130"/>
    </row>
    <row r="236" spans="1:21" s="46" customFormat="1">
      <c r="A236" s="109">
        <v>5205212</v>
      </c>
      <c r="B236" s="110">
        <v>135</v>
      </c>
      <c r="C236" s="110"/>
      <c r="D236" s="109">
        <v>5205212</v>
      </c>
      <c r="E236" s="110">
        <v>135</v>
      </c>
      <c r="F236" s="110"/>
      <c r="G236" s="133">
        <v>5205273</v>
      </c>
      <c r="H236" s="134">
        <v>150</v>
      </c>
      <c r="I236" s="134"/>
      <c r="J236" s="133">
        <v>5205273</v>
      </c>
      <c r="K236" s="134">
        <v>150</v>
      </c>
      <c r="L236" s="134"/>
      <c r="M236" s="119"/>
      <c r="N236" s="119"/>
      <c r="O236" s="119"/>
      <c r="P236" s="119"/>
      <c r="Q236" s="119"/>
      <c r="R236" s="119"/>
      <c r="S236" s="130"/>
      <c r="T236" s="130"/>
      <c r="U236" s="130"/>
    </row>
    <row r="237" spans="1:21" s="46" customFormat="1">
      <c r="A237" s="100">
        <v>5205234</v>
      </c>
      <c r="B237" s="101">
        <v>100</v>
      </c>
      <c r="C237" s="101"/>
      <c r="D237" s="100">
        <v>5205234</v>
      </c>
      <c r="E237" s="101">
        <v>100</v>
      </c>
      <c r="F237" s="101"/>
      <c r="G237" s="122">
        <v>5205236</v>
      </c>
      <c r="H237" s="123">
        <v>110</v>
      </c>
      <c r="I237" s="123"/>
      <c r="J237" s="122">
        <v>5205236</v>
      </c>
      <c r="K237" s="123">
        <v>110</v>
      </c>
      <c r="L237" s="123"/>
      <c r="M237" s="119"/>
      <c r="N237" s="119"/>
      <c r="O237" s="119"/>
      <c r="P237" s="119"/>
      <c r="Q237" s="119"/>
      <c r="R237" s="119"/>
      <c r="S237" s="130"/>
      <c r="T237" s="130"/>
      <c r="U237" s="130"/>
    </row>
    <row r="238" spans="1:21" s="46" customFormat="1">
      <c r="A238" s="109">
        <v>5305300</v>
      </c>
      <c r="B238" s="110">
        <v>150</v>
      </c>
      <c r="C238" s="110"/>
      <c r="D238" s="103">
        <v>5205217</v>
      </c>
      <c r="E238" s="104">
        <v>140</v>
      </c>
      <c r="F238" s="104"/>
      <c r="G238" s="103">
        <v>5205217</v>
      </c>
      <c r="H238" s="104">
        <v>140</v>
      </c>
      <c r="I238" s="104"/>
      <c r="J238" s="100">
        <v>5305219</v>
      </c>
      <c r="K238" s="101">
        <v>180</v>
      </c>
      <c r="L238" s="101"/>
      <c r="M238" s="119"/>
      <c r="N238" s="119"/>
      <c r="O238" s="119"/>
      <c r="P238" s="119"/>
      <c r="Q238" s="119"/>
      <c r="R238" s="119"/>
      <c r="S238" s="130"/>
      <c r="T238" s="130"/>
      <c r="U238" s="130"/>
    </row>
    <row r="239" spans="1:21" s="46" customFormat="1">
      <c r="A239" s="100">
        <v>5305341</v>
      </c>
      <c r="B239" s="101">
        <v>160</v>
      </c>
      <c r="C239" s="101"/>
      <c r="D239" s="133">
        <v>5305355</v>
      </c>
      <c r="E239" s="134">
        <v>120</v>
      </c>
      <c r="F239" s="134"/>
      <c r="G239" s="122">
        <v>5205213</v>
      </c>
      <c r="H239" s="123">
        <v>135</v>
      </c>
      <c r="I239" s="123"/>
      <c r="J239" s="122">
        <v>5205213</v>
      </c>
      <c r="K239" s="123">
        <v>135</v>
      </c>
      <c r="L239" s="123"/>
      <c r="M239" s="119"/>
      <c r="N239" s="119"/>
      <c r="O239" s="119"/>
      <c r="P239" s="119"/>
      <c r="Q239" s="119"/>
      <c r="R239" s="119"/>
      <c r="S239" s="130"/>
      <c r="T239" s="130"/>
      <c r="U239" s="130"/>
    </row>
    <row r="240" spans="1:21" s="46" customFormat="1">
      <c r="A240" s="103">
        <v>5305415</v>
      </c>
      <c r="B240" s="104">
        <v>135</v>
      </c>
      <c r="C240" s="104"/>
      <c r="D240" s="109">
        <v>5205366</v>
      </c>
      <c r="E240" s="110">
        <v>100</v>
      </c>
      <c r="F240" s="110"/>
      <c r="G240" s="109">
        <v>5205366</v>
      </c>
      <c r="H240" s="110">
        <v>100</v>
      </c>
      <c r="I240" s="110"/>
      <c r="J240" s="103">
        <v>5305218</v>
      </c>
      <c r="K240" s="104">
        <v>160</v>
      </c>
      <c r="L240" s="104"/>
      <c r="M240" s="119"/>
      <c r="N240" s="119"/>
      <c r="O240" s="119"/>
      <c r="P240" s="119"/>
      <c r="Q240" s="119"/>
      <c r="R240" s="119"/>
      <c r="S240" s="130"/>
      <c r="T240" s="130"/>
      <c r="U240" s="130"/>
    </row>
    <row r="241" spans="1:21" s="46" customFormat="1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30"/>
      <c r="T241" s="130"/>
      <c r="U241" s="130"/>
    </row>
    <row r="242" spans="1:21" s="46" customFormat="1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30"/>
      <c r="T242" s="130"/>
      <c r="U242" s="130"/>
    </row>
    <row r="243" spans="1:21" s="46" customFormat="1">
      <c r="A243" s="181" t="s">
        <v>167</v>
      </c>
      <c r="B243" s="182"/>
      <c r="C243" s="182"/>
      <c r="D243" s="182"/>
      <c r="E243" s="182"/>
      <c r="F243" s="182"/>
      <c r="G243" s="182"/>
      <c r="H243" s="182"/>
      <c r="I243" s="182"/>
      <c r="J243" s="182"/>
      <c r="K243" s="182"/>
      <c r="L243" s="183"/>
      <c r="M243" s="119"/>
      <c r="N243" s="119"/>
      <c r="O243" s="119"/>
      <c r="P243" s="119"/>
      <c r="Q243" s="119"/>
      <c r="R243" s="119"/>
      <c r="S243" s="130"/>
      <c r="T243" s="130"/>
      <c r="U243" s="130"/>
    </row>
    <row r="244" spans="1:21" s="46" customFormat="1">
      <c r="A244" s="178" t="s">
        <v>164</v>
      </c>
      <c r="B244" s="179"/>
      <c r="C244" s="179"/>
      <c r="D244" s="179"/>
      <c r="E244" s="179"/>
      <c r="F244" s="179"/>
      <c r="G244" s="179"/>
      <c r="H244" s="179"/>
      <c r="I244" s="179"/>
      <c r="J244" s="179"/>
      <c r="K244" s="179"/>
      <c r="L244" s="180"/>
      <c r="M244" s="119"/>
      <c r="N244" s="119"/>
      <c r="O244" s="119"/>
      <c r="P244" s="119"/>
      <c r="Q244" s="119"/>
      <c r="R244" s="119"/>
      <c r="S244" s="130"/>
      <c r="T244" s="130"/>
      <c r="U244" s="130"/>
    </row>
    <row r="245" spans="1:21" s="46" customFormat="1">
      <c r="A245" s="178" t="s">
        <v>171</v>
      </c>
      <c r="B245" s="179"/>
      <c r="C245" s="179"/>
      <c r="D245" s="179"/>
      <c r="E245" s="179"/>
      <c r="F245" s="180"/>
      <c r="G245" s="178" t="s">
        <v>169</v>
      </c>
      <c r="H245" s="179"/>
      <c r="I245" s="179"/>
      <c r="J245" s="179"/>
      <c r="K245" s="179"/>
      <c r="L245" s="180"/>
      <c r="M245" s="119"/>
      <c r="N245" s="119"/>
      <c r="O245" s="119"/>
      <c r="P245" s="119"/>
      <c r="Q245" s="119"/>
      <c r="R245" s="119"/>
      <c r="S245" s="130"/>
      <c r="T245" s="130"/>
      <c r="U245" s="130"/>
    </row>
    <row r="246" spans="1:21" s="46" customFormat="1">
      <c r="A246" s="178" t="s">
        <v>110</v>
      </c>
      <c r="B246" s="179"/>
      <c r="C246" s="180"/>
      <c r="D246" s="178" t="s">
        <v>111</v>
      </c>
      <c r="E246" s="179"/>
      <c r="F246" s="180"/>
      <c r="G246" s="178" t="s">
        <v>112</v>
      </c>
      <c r="H246" s="179"/>
      <c r="I246" s="180"/>
      <c r="J246" s="178" t="s">
        <v>113</v>
      </c>
      <c r="K246" s="179"/>
      <c r="L246" s="180"/>
      <c r="M246" s="119"/>
      <c r="N246" s="119"/>
      <c r="O246" s="119"/>
      <c r="P246" s="119"/>
      <c r="Q246" s="119"/>
      <c r="R246" s="119"/>
      <c r="S246" s="130"/>
      <c r="T246" s="130"/>
      <c r="U246" s="130"/>
    </row>
    <row r="247" spans="1:21" s="46" customFormat="1" ht="36">
      <c r="A247" s="117" t="s">
        <v>114</v>
      </c>
      <c r="B247" s="118" t="s">
        <v>115</v>
      </c>
      <c r="C247" s="118" t="s">
        <v>172</v>
      </c>
      <c r="D247" s="117" t="s">
        <v>114</v>
      </c>
      <c r="E247" s="118" t="s">
        <v>115</v>
      </c>
      <c r="F247" s="118" t="s">
        <v>172</v>
      </c>
      <c r="G247" s="117" t="s">
        <v>114</v>
      </c>
      <c r="H247" s="118" t="s">
        <v>115</v>
      </c>
      <c r="I247" s="118" t="s">
        <v>172</v>
      </c>
      <c r="J247" s="117" t="s">
        <v>114</v>
      </c>
      <c r="K247" s="118" t="s">
        <v>115</v>
      </c>
      <c r="L247" s="118" t="s">
        <v>172</v>
      </c>
      <c r="M247" s="119"/>
      <c r="N247" s="119"/>
      <c r="O247" s="119"/>
      <c r="P247" s="119"/>
      <c r="Q247" s="119"/>
      <c r="R247" s="119"/>
      <c r="S247" s="130"/>
      <c r="T247" s="130"/>
      <c r="U247" s="130"/>
    </row>
    <row r="248" spans="1:21" s="46" customFormat="1">
      <c r="A248" s="106">
        <v>5305218</v>
      </c>
      <c r="B248" s="107">
        <v>160</v>
      </c>
      <c r="C248" s="153"/>
      <c r="D248" s="154">
        <v>5205366</v>
      </c>
      <c r="E248" s="155">
        <v>100</v>
      </c>
      <c r="F248" s="156"/>
      <c r="G248" s="154">
        <v>5205366</v>
      </c>
      <c r="H248" s="155">
        <v>100</v>
      </c>
      <c r="I248" s="156"/>
      <c r="J248" s="106">
        <v>5305415</v>
      </c>
      <c r="K248" s="107">
        <v>135</v>
      </c>
      <c r="L248" s="153"/>
      <c r="M248" s="119"/>
      <c r="N248" s="119"/>
      <c r="O248" s="119"/>
      <c r="P248" s="119"/>
      <c r="Q248" s="119"/>
      <c r="R248" s="119"/>
      <c r="S248" s="130"/>
      <c r="T248" s="130"/>
      <c r="U248" s="130"/>
    </row>
    <row r="249" spans="1:21" s="46" customFormat="1">
      <c r="A249" s="103">
        <v>5205213</v>
      </c>
      <c r="B249" s="104">
        <v>135</v>
      </c>
      <c r="C249" s="157"/>
      <c r="D249" s="103">
        <v>5205213</v>
      </c>
      <c r="E249" s="104">
        <v>135</v>
      </c>
      <c r="F249" s="157"/>
      <c r="G249" s="145">
        <v>5205296</v>
      </c>
      <c r="H249" s="146">
        <v>400</v>
      </c>
      <c r="I249" s="158"/>
      <c r="J249" s="103">
        <v>5305218</v>
      </c>
      <c r="K249" s="104">
        <v>160</v>
      </c>
      <c r="L249" s="157"/>
      <c r="M249" s="119"/>
      <c r="N249" s="119"/>
      <c r="O249" s="119"/>
      <c r="P249" s="119"/>
      <c r="Q249" s="119"/>
      <c r="R249" s="119"/>
      <c r="S249" s="130"/>
      <c r="T249" s="130"/>
      <c r="U249" s="130"/>
    </row>
    <row r="250" spans="1:21" s="46" customFormat="1">
      <c r="A250" s="106">
        <v>5305355</v>
      </c>
      <c r="B250" s="107">
        <v>120</v>
      </c>
      <c r="C250" s="153"/>
      <c r="D250" s="154">
        <v>5305341</v>
      </c>
      <c r="E250" s="155">
        <v>160</v>
      </c>
      <c r="F250" s="156"/>
      <c r="G250" s="106">
        <v>5305219</v>
      </c>
      <c r="H250" s="107">
        <v>180</v>
      </c>
      <c r="I250" s="153"/>
      <c r="J250" s="154">
        <v>5305300</v>
      </c>
      <c r="K250" s="155">
        <v>150</v>
      </c>
      <c r="L250" s="156"/>
      <c r="M250" s="119"/>
      <c r="N250" s="119"/>
      <c r="O250" s="119"/>
      <c r="P250" s="119"/>
      <c r="Q250" s="119"/>
      <c r="R250" s="119"/>
      <c r="S250" s="130"/>
      <c r="T250" s="130"/>
      <c r="U250" s="130"/>
    </row>
    <row r="251" spans="1:21" s="46" customFormat="1">
      <c r="A251" s="103">
        <v>5205217</v>
      </c>
      <c r="B251" s="104">
        <v>140</v>
      </c>
      <c r="C251" s="157"/>
      <c r="D251" s="103">
        <v>5205217</v>
      </c>
      <c r="E251" s="104">
        <v>140</v>
      </c>
      <c r="F251" s="157"/>
      <c r="G251" s="145">
        <v>5205236</v>
      </c>
      <c r="H251" s="146">
        <v>110</v>
      </c>
      <c r="I251" s="158"/>
      <c r="J251" s="145">
        <v>5205236</v>
      </c>
      <c r="K251" s="146">
        <v>110</v>
      </c>
      <c r="L251" s="158"/>
      <c r="M251" s="119"/>
      <c r="N251" s="119"/>
      <c r="O251" s="119"/>
      <c r="P251" s="119"/>
      <c r="Q251" s="119"/>
      <c r="R251" s="119"/>
      <c r="S251" s="130"/>
      <c r="T251" s="130"/>
      <c r="U251" s="130"/>
    </row>
    <row r="252" spans="1:21" s="46" customFormat="1">
      <c r="A252" s="106">
        <v>5205234</v>
      </c>
      <c r="B252" s="107">
        <v>100</v>
      </c>
      <c r="C252" s="153"/>
      <c r="D252" s="106">
        <v>5205234</v>
      </c>
      <c r="E252" s="107">
        <v>100</v>
      </c>
      <c r="F252" s="153"/>
      <c r="G252" s="154">
        <v>5205273</v>
      </c>
      <c r="H252" s="155">
        <v>150</v>
      </c>
      <c r="I252" s="156"/>
      <c r="J252" s="154">
        <v>5205273</v>
      </c>
      <c r="K252" s="155">
        <v>150</v>
      </c>
      <c r="L252" s="156"/>
      <c r="M252" s="119"/>
      <c r="N252" s="119"/>
      <c r="O252" s="119"/>
      <c r="P252" s="119"/>
      <c r="Q252" s="119"/>
      <c r="R252" s="119"/>
      <c r="S252" s="130"/>
      <c r="T252" s="130"/>
      <c r="U252" s="130"/>
    </row>
    <row r="253" spans="1:21" s="46" customFormat="1">
      <c r="A253" s="103">
        <v>5305298</v>
      </c>
      <c r="B253" s="104">
        <v>320</v>
      </c>
      <c r="C253" s="157"/>
      <c r="D253" s="103">
        <v>5305298</v>
      </c>
      <c r="E253" s="104">
        <v>320</v>
      </c>
      <c r="F253" s="157"/>
      <c r="G253" s="145">
        <v>5205366</v>
      </c>
      <c r="H253" s="146">
        <v>100</v>
      </c>
      <c r="I253" s="149"/>
      <c r="J253" s="145">
        <v>5205366</v>
      </c>
      <c r="K253" s="146">
        <v>100</v>
      </c>
      <c r="L253" s="149"/>
      <c r="M253" s="119"/>
      <c r="N253" s="119"/>
      <c r="O253" s="119"/>
      <c r="P253" s="119"/>
      <c r="Q253" s="119"/>
      <c r="R253" s="119"/>
      <c r="S253" s="130"/>
      <c r="T253" s="130"/>
      <c r="U253" s="130"/>
    </row>
    <row r="254" spans="1:21" s="46" customFormat="1">
      <c r="A254" s="154">
        <v>5305415</v>
      </c>
      <c r="B254" s="155">
        <v>135</v>
      </c>
      <c r="C254" s="156"/>
      <c r="D254" s="106">
        <v>5205213</v>
      </c>
      <c r="E254" s="107">
        <v>135</v>
      </c>
      <c r="F254" s="153"/>
      <c r="G254" s="106">
        <v>5205213</v>
      </c>
      <c r="H254" s="107">
        <v>135</v>
      </c>
      <c r="I254" s="153"/>
      <c r="J254" s="154">
        <v>5305288</v>
      </c>
      <c r="K254" s="155">
        <v>200</v>
      </c>
      <c r="L254" s="156"/>
      <c r="M254" s="119"/>
      <c r="N254" s="119"/>
      <c r="O254" s="119"/>
      <c r="P254" s="119"/>
      <c r="Q254" s="119"/>
      <c r="R254" s="119"/>
      <c r="S254" s="130"/>
      <c r="T254" s="130"/>
      <c r="U254" s="130"/>
    </row>
    <row r="255" spans="1:21" s="46" customFormat="1">
      <c r="A255" s="145">
        <v>5205212</v>
      </c>
      <c r="B255" s="146">
        <v>135</v>
      </c>
      <c r="C255" s="158"/>
      <c r="D255" s="145">
        <v>5205212</v>
      </c>
      <c r="E255" s="146">
        <v>135</v>
      </c>
      <c r="F255" s="158"/>
      <c r="G255" s="103">
        <v>5205358</v>
      </c>
      <c r="H255" s="104">
        <v>120</v>
      </c>
      <c r="I255" s="157"/>
      <c r="J255" s="103">
        <v>5205358</v>
      </c>
      <c r="K255" s="104">
        <v>120</v>
      </c>
      <c r="L255" s="157"/>
      <c r="M255" s="119"/>
      <c r="N255" s="119"/>
      <c r="O255" s="119"/>
      <c r="P255" s="119"/>
      <c r="Q255" s="119"/>
      <c r="R255" s="119"/>
      <c r="S255" s="130"/>
      <c r="T255" s="130"/>
      <c r="U255" s="130"/>
    </row>
    <row r="256" spans="1:21" s="46" customFormat="1">
      <c r="A256" s="154">
        <v>5305355</v>
      </c>
      <c r="B256" s="155">
        <v>120</v>
      </c>
      <c r="C256" s="156"/>
      <c r="D256" s="106">
        <v>5305341</v>
      </c>
      <c r="E256" s="107">
        <v>160</v>
      </c>
      <c r="F256" s="153"/>
      <c r="G256" s="154">
        <v>5305219</v>
      </c>
      <c r="H256" s="155">
        <v>180</v>
      </c>
      <c r="I256" s="156"/>
      <c r="J256" s="106">
        <v>5305300</v>
      </c>
      <c r="K256" s="107">
        <v>150</v>
      </c>
      <c r="L256" s="153"/>
      <c r="M256" s="119"/>
      <c r="N256" s="119"/>
      <c r="O256" s="119"/>
      <c r="P256" s="119"/>
      <c r="Q256" s="119"/>
      <c r="R256" s="119"/>
      <c r="S256" s="130"/>
      <c r="T256" s="130"/>
      <c r="U256" s="130"/>
    </row>
    <row r="257" spans="1:21" s="46" customFormat="1">
      <c r="A257" s="103">
        <v>5205217</v>
      </c>
      <c r="B257" s="104">
        <v>140</v>
      </c>
      <c r="C257" s="157"/>
      <c r="D257" s="103">
        <v>5205217</v>
      </c>
      <c r="E257" s="104">
        <v>140</v>
      </c>
      <c r="F257" s="157"/>
      <c r="G257" s="145">
        <v>5205236</v>
      </c>
      <c r="H257" s="146">
        <v>110</v>
      </c>
      <c r="I257" s="158"/>
      <c r="J257" s="145">
        <v>5205236</v>
      </c>
      <c r="K257" s="146">
        <v>110</v>
      </c>
      <c r="L257" s="158"/>
      <c r="M257" s="119"/>
      <c r="N257" s="119"/>
      <c r="O257" s="119"/>
      <c r="P257" s="119"/>
      <c r="Q257" s="119"/>
      <c r="R257" s="119"/>
      <c r="S257" s="130"/>
      <c r="T257" s="130"/>
      <c r="U257" s="130"/>
    </row>
    <row r="258" spans="1:21" s="46" customFormat="1">
      <c r="A258" s="106">
        <v>5205234</v>
      </c>
      <c r="B258" s="107">
        <v>100</v>
      </c>
      <c r="C258" s="153"/>
      <c r="D258" s="106">
        <v>5205234</v>
      </c>
      <c r="E258" s="107">
        <v>100</v>
      </c>
      <c r="F258" s="153"/>
      <c r="G258" s="154">
        <v>5205273</v>
      </c>
      <c r="H258" s="155">
        <v>150</v>
      </c>
      <c r="I258" s="156"/>
      <c r="J258" s="154">
        <v>5205273</v>
      </c>
      <c r="K258" s="155">
        <v>150</v>
      </c>
      <c r="L258" s="156"/>
      <c r="M258" s="119"/>
      <c r="N258" s="119"/>
      <c r="O258" s="119"/>
      <c r="P258" s="119"/>
      <c r="Q258" s="119"/>
      <c r="R258" s="119"/>
      <c r="S258" s="130"/>
      <c r="T258" s="130"/>
      <c r="U258" s="130"/>
    </row>
    <row r="259" spans="1:21" s="46" customFormat="1">
      <c r="A259" s="154">
        <v>5305218</v>
      </c>
      <c r="B259" s="155">
        <v>160</v>
      </c>
      <c r="C259" s="156"/>
      <c r="D259" s="103">
        <v>5205366</v>
      </c>
      <c r="E259" s="104">
        <v>100</v>
      </c>
      <c r="F259" s="157"/>
      <c r="G259" s="103">
        <v>5205366</v>
      </c>
      <c r="H259" s="104">
        <v>100</v>
      </c>
      <c r="I259" s="157"/>
      <c r="J259" s="145">
        <v>5305415</v>
      </c>
      <c r="K259" s="146">
        <v>135</v>
      </c>
      <c r="L259" s="158"/>
      <c r="M259" s="119"/>
      <c r="N259" s="119"/>
      <c r="O259" s="119"/>
      <c r="P259" s="119"/>
      <c r="Q259" s="119"/>
      <c r="R259" s="119"/>
      <c r="S259" s="130"/>
      <c r="T259" s="130"/>
      <c r="U259" s="130"/>
    </row>
    <row r="260" spans="1:21" s="46" customFormat="1">
      <c r="A260" s="145">
        <v>5205213</v>
      </c>
      <c r="B260" s="146">
        <v>135</v>
      </c>
      <c r="C260" s="158"/>
      <c r="D260" s="145">
        <v>5205213</v>
      </c>
      <c r="E260" s="146">
        <v>135</v>
      </c>
      <c r="F260" s="158"/>
      <c r="G260" s="106">
        <v>5305218</v>
      </c>
      <c r="H260" s="107">
        <v>160</v>
      </c>
      <c r="I260" s="153"/>
      <c r="J260" s="154">
        <v>5205366</v>
      </c>
      <c r="K260" s="155">
        <v>100</v>
      </c>
      <c r="L260" s="156"/>
      <c r="M260" s="119"/>
      <c r="N260" s="119"/>
      <c r="O260" s="119"/>
      <c r="P260" s="119"/>
      <c r="Q260" s="119"/>
      <c r="R260" s="119"/>
      <c r="S260" s="130"/>
      <c r="T260" s="130"/>
      <c r="U260" s="130"/>
    </row>
    <row r="261" spans="1:21" s="46" customFormat="1">
      <c r="A261" s="154">
        <v>5305288</v>
      </c>
      <c r="B261" s="155">
        <v>200</v>
      </c>
      <c r="C261" s="156"/>
      <c r="D261" s="103">
        <v>5305298</v>
      </c>
      <c r="E261" s="104">
        <v>320</v>
      </c>
      <c r="F261" s="157"/>
      <c r="G261" s="103">
        <v>5305298</v>
      </c>
      <c r="H261" s="104">
        <v>320</v>
      </c>
      <c r="I261" s="157"/>
      <c r="J261" s="154">
        <v>5205366</v>
      </c>
      <c r="K261" s="155">
        <v>100</v>
      </c>
      <c r="L261" s="156"/>
      <c r="M261" s="119"/>
      <c r="N261" s="119"/>
      <c r="O261" s="119"/>
      <c r="P261" s="119"/>
      <c r="Q261" s="119"/>
      <c r="R261" s="119"/>
      <c r="S261" s="130"/>
      <c r="T261" s="130"/>
      <c r="U261" s="130"/>
    </row>
    <row r="262" spans="1:21" s="46" customFormat="1">
      <c r="A262" s="106">
        <v>5205212</v>
      </c>
      <c r="B262" s="107">
        <v>135</v>
      </c>
      <c r="C262" s="153"/>
      <c r="D262" s="106">
        <v>5205212</v>
      </c>
      <c r="E262" s="107">
        <v>135</v>
      </c>
      <c r="F262" s="153"/>
      <c r="G262" s="145">
        <v>5205273</v>
      </c>
      <c r="H262" s="146">
        <v>150</v>
      </c>
      <c r="I262" s="158"/>
      <c r="J262" s="145">
        <v>5205273</v>
      </c>
      <c r="K262" s="146">
        <v>150</v>
      </c>
      <c r="L262" s="158"/>
      <c r="M262" s="119"/>
      <c r="N262" s="119"/>
      <c r="O262" s="119"/>
      <c r="P262" s="119"/>
      <c r="Q262" s="119"/>
      <c r="R262" s="119"/>
      <c r="S262" s="130"/>
      <c r="T262" s="130"/>
      <c r="U262" s="130"/>
    </row>
    <row r="263" spans="1:21" s="46" customFormat="1">
      <c r="A263" s="103">
        <v>5205234</v>
      </c>
      <c r="B263" s="104">
        <v>100</v>
      </c>
      <c r="C263" s="157"/>
      <c r="D263" s="103">
        <v>5205234</v>
      </c>
      <c r="E263" s="104">
        <v>100</v>
      </c>
      <c r="F263" s="157"/>
      <c r="G263" s="154">
        <v>5205236</v>
      </c>
      <c r="H263" s="155">
        <v>110</v>
      </c>
      <c r="I263" s="156"/>
      <c r="J263" s="154">
        <v>5205236</v>
      </c>
      <c r="K263" s="155">
        <v>110</v>
      </c>
      <c r="L263" s="156"/>
      <c r="M263" s="119"/>
      <c r="N263" s="119"/>
      <c r="O263" s="119"/>
      <c r="P263" s="119"/>
      <c r="Q263" s="119"/>
      <c r="R263" s="119"/>
      <c r="S263" s="130"/>
      <c r="T263" s="130"/>
      <c r="U263" s="130"/>
    </row>
    <row r="264" spans="1:21" s="46" customFormat="1">
      <c r="A264" s="154">
        <v>5305300</v>
      </c>
      <c r="B264" s="155">
        <v>150</v>
      </c>
      <c r="C264" s="156"/>
      <c r="D264" s="145">
        <v>5305218</v>
      </c>
      <c r="E264" s="146">
        <v>160</v>
      </c>
      <c r="F264" s="158"/>
      <c r="G264" s="106">
        <v>5205366</v>
      </c>
      <c r="H264" s="107">
        <v>100</v>
      </c>
      <c r="I264" s="153"/>
      <c r="J264" s="106">
        <v>5205366</v>
      </c>
      <c r="K264" s="107">
        <v>100</v>
      </c>
      <c r="L264" s="153"/>
      <c r="M264" s="119"/>
      <c r="N264" s="119"/>
      <c r="O264" s="119"/>
      <c r="P264" s="119"/>
      <c r="Q264" s="119"/>
      <c r="R264" s="119"/>
      <c r="S264" s="130"/>
      <c r="T264" s="130"/>
      <c r="U264" s="130"/>
    </row>
    <row r="265" spans="1:21" s="46" customFormat="1">
      <c r="A265" s="103">
        <v>5205217</v>
      </c>
      <c r="B265" s="104">
        <v>140</v>
      </c>
      <c r="C265" s="157"/>
      <c r="D265" s="103">
        <v>5205217</v>
      </c>
      <c r="E265" s="104">
        <v>140</v>
      </c>
      <c r="F265" s="157"/>
      <c r="G265" s="154">
        <v>5305219</v>
      </c>
      <c r="H265" s="155">
        <v>180</v>
      </c>
      <c r="I265" s="156"/>
      <c r="J265" s="103">
        <v>5305341</v>
      </c>
      <c r="K265" s="104">
        <v>160</v>
      </c>
      <c r="L265" s="157"/>
      <c r="M265" s="119"/>
      <c r="N265" s="119"/>
      <c r="O265" s="119"/>
      <c r="P265" s="119"/>
      <c r="Q265" s="119"/>
      <c r="R265" s="119"/>
      <c r="S265" s="130"/>
      <c r="T265" s="130"/>
      <c r="U265" s="130"/>
    </row>
    <row r="266" spans="1:21" s="46" customFormat="1">
      <c r="A266" s="154">
        <v>5305355</v>
      </c>
      <c r="B266" s="155">
        <v>120</v>
      </c>
      <c r="C266" s="156"/>
      <c r="D266" s="106">
        <v>5205213</v>
      </c>
      <c r="E266" s="107">
        <v>135</v>
      </c>
      <c r="F266" s="153"/>
      <c r="G266" s="106">
        <v>5205213</v>
      </c>
      <c r="H266" s="107">
        <v>135</v>
      </c>
      <c r="I266" s="153"/>
      <c r="J266" s="145">
        <v>5305415</v>
      </c>
      <c r="K266" s="146">
        <v>135</v>
      </c>
      <c r="L266" s="158"/>
      <c r="M266" s="119"/>
      <c r="N266" s="119"/>
      <c r="O266" s="119"/>
      <c r="P266" s="119"/>
      <c r="Q266" s="119"/>
      <c r="R266" s="119"/>
      <c r="S266" s="130"/>
      <c r="T266" s="130"/>
      <c r="U266" s="130"/>
    </row>
    <row r="267" spans="1:21" s="46" customFormat="1">
      <c r="A267" s="103">
        <v>5205366</v>
      </c>
      <c r="B267" s="104">
        <v>100</v>
      </c>
      <c r="C267" s="157"/>
      <c r="D267" s="103">
        <v>5205366</v>
      </c>
      <c r="E267" s="104">
        <v>100</v>
      </c>
      <c r="F267" s="157"/>
      <c r="G267" s="154">
        <v>5305218</v>
      </c>
      <c r="H267" s="155">
        <v>160</v>
      </c>
      <c r="I267" s="156"/>
      <c r="J267" s="159"/>
      <c r="K267" s="144"/>
      <c r="L267" s="144"/>
      <c r="M267" s="119"/>
      <c r="N267" s="119"/>
      <c r="O267" s="119"/>
      <c r="P267" s="119"/>
      <c r="Q267" s="119"/>
      <c r="R267" s="119"/>
      <c r="S267" s="130"/>
      <c r="T267" s="130"/>
      <c r="U267" s="130"/>
    </row>
    <row r="268" spans="1:21" s="46" customFormat="1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30"/>
      <c r="T268" s="130"/>
      <c r="U268" s="130"/>
    </row>
    <row r="269" spans="1:21" s="46" customFormat="1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30"/>
      <c r="T269" s="130"/>
      <c r="U269" s="130"/>
    </row>
    <row r="270" spans="1:21" s="46" customFormat="1">
      <c r="A270" s="181" t="s">
        <v>167</v>
      </c>
      <c r="B270" s="182"/>
      <c r="C270" s="182"/>
      <c r="D270" s="182"/>
      <c r="E270" s="182"/>
      <c r="F270" s="182"/>
      <c r="G270" s="182"/>
      <c r="H270" s="182"/>
      <c r="I270" s="182"/>
      <c r="J270" s="182"/>
      <c r="K270" s="182"/>
      <c r="L270" s="183"/>
      <c r="M270" s="119"/>
      <c r="N270" s="119"/>
      <c r="O270" s="119"/>
      <c r="P270" s="119"/>
      <c r="Q270" s="119"/>
      <c r="R270" s="119"/>
      <c r="S270" s="130"/>
      <c r="T270" s="130"/>
      <c r="U270" s="130"/>
    </row>
    <row r="271" spans="1:21" s="46" customFormat="1">
      <c r="A271" s="178" t="s">
        <v>164</v>
      </c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80"/>
      <c r="M271" s="119"/>
      <c r="N271" s="119"/>
      <c r="O271" s="119"/>
      <c r="P271" s="119"/>
      <c r="Q271" s="119"/>
      <c r="R271" s="119"/>
      <c r="S271" s="130"/>
      <c r="T271" s="130"/>
      <c r="U271" s="130"/>
    </row>
    <row r="272" spans="1:21" s="46" customFormat="1">
      <c r="A272" s="178" t="s">
        <v>170</v>
      </c>
      <c r="B272" s="179"/>
      <c r="C272" s="179"/>
      <c r="D272" s="179"/>
      <c r="E272" s="179"/>
      <c r="F272" s="180"/>
      <c r="G272" s="178" t="s">
        <v>169</v>
      </c>
      <c r="H272" s="179"/>
      <c r="I272" s="179"/>
      <c r="J272" s="179"/>
      <c r="K272" s="179"/>
      <c r="L272" s="180"/>
      <c r="M272" s="119"/>
      <c r="N272" s="119"/>
      <c r="O272" s="119"/>
      <c r="P272" s="119"/>
      <c r="Q272" s="119"/>
      <c r="R272" s="119"/>
      <c r="S272" s="130"/>
      <c r="T272" s="130"/>
      <c r="U272" s="130"/>
    </row>
    <row r="273" spans="1:21" s="46" customFormat="1">
      <c r="A273" s="178" t="s">
        <v>110</v>
      </c>
      <c r="B273" s="179"/>
      <c r="C273" s="180"/>
      <c r="D273" s="178" t="s">
        <v>111</v>
      </c>
      <c r="E273" s="179"/>
      <c r="F273" s="180"/>
      <c r="G273" s="178" t="s">
        <v>112</v>
      </c>
      <c r="H273" s="179"/>
      <c r="I273" s="180"/>
      <c r="J273" s="178" t="s">
        <v>113</v>
      </c>
      <c r="K273" s="179"/>
      <c r="L273" s="180"/>
      <c r="M273" s="119"/>
      <c r="N273" s="119"/>
      <c r="O273" s="119"/>
      <c r="P273" s="119"/>
      <c r="Q273" s="119"/>
      <c r="R273" s="119"/>
      <c r="S273" s="130"/>
      <c r="T273" s="130"/>
      <c r="U273" s="130"/>
    </row>
    <row r="274" spans="1:21" s="46" customFormat="1" ht="36">
      <c r="A274" s="117" t="s">
        <v>114</v>
      </c>
      <c r="B274" s="118" t="s">
        <v>115</v>
      </c>
      <c r="C274" s="118" t="s">
        <v>172</v>
      </c>
      <c r="D274" s="117" t="s">
        <v>114</v>
      </c>
      <c r="E274" s="118" t="s">
        <v>115</v>
      </c>
      <c r="F274" s="118" t="s">
        <v>172</v>
      </c>
      <c r="G274" s="117" t="s">
        <v>114</v>
      </c>
      <c r="H274" s="118" t="s">
        <v>115</v>
      </c>
      <c r="I274" s="118" t="s">
        <v>172</v>
      </c>
      <c r="J274" s="117" t="s">
        <v>114</v>
      </c>
      <c r="K274" s="118" t="s">
        <v>115</v>
      </c>
      <c r="L274" s="118" t="s">
        <v>172</v>
      </c>
      <c r="M274" s="119"/>
      <c r="N274" s="119"/>
      <c r="O274" s="119"/>
      <c r="P274" s="119"/>
      <c r="Q274" s="119"/>
      <c r="R274" s="119"/>
      <c r="S274" s="130"/>
      <c r="T274" s="130"/>
      <c r="U274" s="130"/>
    </row>
    <row r="275" spans="1:21" s="46" customFormat="1">
      <c r="A275" s="122">
        <v>5305415</v>
      </c>
      <c r="B275" s="123">
        <v>135</v>
      </c>
      <c r="C275" s="123"/>
      <c r="D275" s="103">
        <v>5205213</v>
      </c>
      <c r="E275" s="104">
        <v>135</v>
      </c>
      <c r="F275" s="104"/>
      <c r="G275" s="103">
        <v>5205213</v>
      </c>
      <c r="H275" s="104">
        <v>135</v>
      </c>
      <c r="I275" s="104"/>
      <c r="J275" s="133">
        <v>5205205</v>
      </c>
      <c r="K275" s="134">
        <v>132</v>
      </c>
      <c r="L275" s="134"/>
      <c r="M275" s="119"/>
      <c r="N275" s="119"/>
      <c r="O275" s="119"/>
      <c r="P275" s="119"/>
      <c r="Q275" s="119"/>
      <c r="R275" s="119"/>
      <c r="S275" s="130"/>
      <c r="T275" s="130"/>
      <c r="U275" s="130"/>
    </row>
    <row r="276" spans="1:21" s="46" customFormat="1">
      <c r="A276" s="133">
        <v>5205222</v>
      </c>
      <c r="B276" s="134">
        <v>132</v>
      </c>
      <c r="C276" s="134"/>
      <c r="D276" s="133">
        <v>5205222</v>
      </c>
      <c r="E276" s="134">
        <v>132</v>
      </c>
      <c r="F276" s="134"/>
      <c r="G276" s="145">
        <v>5305218</v>
      </c>
      <c r="H276" s="146">
        <v>160</v>
      </c>
      <c r="I276" s="146"/>
      <c r="J276" s="122">
        <v>5305355</v>
      </c>
      <c r="K276" s="123">
        <v>120</v>
      </c>
      <c r="L276" s="123"/>
      <c r="M276" s="119"/>
      <c r="N276" s="119"/>
      <c r="O276" s="119"/>
      <c r="P276" s="119"/>
      <c r="Q276" s="119"/>
      <c r="R276" s="119"/>
      <c r="S276" s="130"/>
      <c r="T276" s="130"/>
      <c r="U276" s="130"/>
    </row>
    <row r="277" spans="1:21" s="46" customFormat="1">
      <c r="A277" s="103">
        <v>5205366</v>
      </c>
      <c r="B277" s="104">
        <v>100</v>
      </c>
      <c r="C277" s="104"/>
      <c r="D277" s="103">
        <v>5205366</v>
      </c>
      <c r="E277" s="104">
        <v>100</v>
      </c>
      <c r="F277" s="104"/>
      <c r="G277" s="106">
        <v>5205217</v>
      </c>
      <c r="H277" s="107">
        <v>140</v>
      </c>
      <c r="I277" s="107"/>
      <c r="J277" s="106">
        <v>5205217</v>
      </c>
      <c r="K277" s="107">
        <v>140</v>
      </c>
      <c r="L277" s="107"/>
      <c r="M277" s="119"/>
      <c r="N277" s="119"/>
      <c r="O277" s="119"/>
      <c r="P277" s="119"/>
      <c r="Q277" s="119"/>
      <c r="R277" s="119"/>
      <c r="S277" s="130"/>
      <c r="T277" s="130"/>
      <c r="U277" s="130"/>
    </row>
    <row r="278" spans="1:21" s="46" customFormat="1">
      <c r="A278" s="133">
        <v>5205236</v>
      </c>
      <c r="B278" s="134">
        <v>110</v>
      </c>
      <c r="C278" s="134"/>
      <c r="D278" s="133">
        <v>5205236</v>
      </c>
      <c r="E278" s="134">
        <v>110</v>
      </c>
      <c r="F278" s="134"/>
      <c r="G278" s="145">
        <v>5205234</v>
      </c>
      <c r="H278" s="146">
        <v>100</v>
      </c>
      <c r="I278" s="146"/>
      <c r="J278" s="145">
        <v>5205234</v>
      </c>
      <c r="K278" s="146">
        <v>100</v>
      </c>
      <c r="L278" s="146"/>
      <c r="M278" s="119"/>
      <c r="N278" s="119"/>
      <c r="O278" s="119"/>
      <c r="P278" s="119"/>
      <c r="Q278" s="119"/>
      <c r="R278" s="119"/>
      <c r="S278" s="130"/>
      <c r="T278" s="130"/>
      <c r="U278" s="130"/>
    </row>
    <row r="279" spans="1:21" s="46" customFormat="1">
      <c r="A279" s="103">
        <v>5205273</v>
      </c>
      <c r="B279" s="104">
        <v>150</v>
      </c>
      <c r="C279" s="104"/>
      <c r="D279" s="103">
        <v>5205273</v>
      </c>
      <c r="E279" s="104">
        <v>150</v>
      </c>
      <c r="F279" s="104"/>
      <c r="G279" s="106">
        <v>5205296</v>
      </c>
      <c r="H279" s="107">
        <v>400</v>
      </c>
      <c r="I279" s="107"/>
      <c r="J279" s="122">
        <v>5305300</v>
      </c>
      <c r="K279" s="123">
        <v>150</v>
      </c>
      <c r="L279" s="123"/>
      <c r="M279" s="119"/>
      <c r="N279" s="119"/>
      <c r="O279" s="119"/>
      <c r="P279" s="119"/>
      <c r="Q279" s="119"/>
      <c r="R279" s="119"/>
      <c r="S279" s="130"/>
      <c r="T279" s="130"/>
      <c r="U279" s="130"/>
    </row>
    <row r="280" spans="1:21" s="46" customFormat="1">
      <c r="A280" s="133">
        <v>5305219</v>
      </c>
      <c r="B280" s="134">
        <v>180</v>
      </c>
      <c r="C280" s="134"/>
      <c r="D280" s="133">
        <v>5305341</v>
      </c>
      <c r="E280" s="134">
        <v>160</v>
      </c>
      <c r="F280" s="134"/>
      <c r="G280" s="145">
        <v>5305218</v>
      </c>
      <c r="H280" s="146">
        <v>160</v>
      </c>
      <c r="I280" s="146"/>
      <c r="J280" s="133">
        <v>5305288</v>
      </c>
      <c r="K280" s="134">
        <v>200</v>
      </c>
      <c r="L280" s="134"/>
      <c r="M280" s="119"/>
      <c r="N280" s="119"/>
      <c r="O280" s="119"/>
      <c r="P280" s="119"/>
      <c r="Q280" s="119"/>
      <c r="R280" s="119"/>
      <c r="S280" s="130"/>
      <c r="T280" s="130"/>
      <c r="U280" s="130"/>
    </row>
    <row r="281" spans="1:21" s="46" customFormat="1">
      <c r="A281" s="103">
        <v>5205212</v>
      </c>
      <c r="B281" s="104">
        <v>135</v>
      </c>
      <c r="C281" s="104"/>
      <c r="D281" s="103">
        <v>5205212</v>
      </c>
      <c r="E281" s="104">
        <v>135</v>
      </c>
      <c r="F281" s="104"/>
      <c r="G281" s="106">
        <v>5205213</v>
      </c>
      <c r="H281" s="107">
        <v>135</v>
      </c>
      <c r="I281" s="107"/>
      <c r="J281" s="106">
        <v>5205213</v>
      </c>
      <c r="K281" s="107">
        <v>135</v>
      </c>
      <c r="L281" s="107"/>
      <c r="M281" s="119"/>
      <c r="N281" s="119"/>
      <c r="O281" s="119"/>
      <c r="P281" s="119"/>
      <c r="Q281" s="119"/>
      <c r="R281" s="119"/>
      <c r="S281" s="130"/>
      <c r="T281" s="130"/>
      <c r="U281" s="130"/>
    </row>
    <row r="282" spans="1:21" s="46" customFormat="1">
      <c r="A282" s="133">
        <v>5305415</v>
      </c>
      <c r="B282" s="134">
        <v>135</v>
      </c>
      <c r="C282" s="134"/>
      <c r="D282" s="145">
        <v>5305218</v>
      </c>
      <c r="E282" s="146">
        <v>160</v>
      </c>
      <c r="F282" s="146"/>
      <c r="G282" s="133">
        <v>5205366</v>
      </c>
      <c r="H282" s="134">
        <v>100</v>
      </c>
      <c r="I282" s="134"/>
      <c r="J282" s="133">
        <v>5205366</v>
      </c>
      <c r="K282" s="134">
        <v>100</v>
      </c>
      <c r="L282" s="134"/>
      <c r="M282" s="119"/>
      <c r="N282" s="119"/>
      <c r="O282" s="119"/>
      <c r="P282" s="119"/>
      <c r="Q282" s="119"/>
      <c r="R282" s="119"/>
      <c r="S282" s="130"/>
      <c r="T282" s="130"/>
      <c r="U282" s="130"/>
    </row>
    <row r="283" spans="1:21" s="46" customFormat="1">
      <c r="A283" s="103">
        <v>5305298</v>
      </c>
      <c r="B283" s="104">
        <v>320</v>
      </c>
      <c r="C283" s="104"/>
      <c r="D283" s="103">
        <v>5305298</v>
      </c>
      <c r="E283" s="104">
        <v>320</v>
      </c>
      <c r="F283" s="104"/>
      <c r="G283" s="133">
        <v>5205366</v>
      </c>
      <c r="H283" s="134">
        <v>100</v>
      </c>
      <c r="I283" s="134"/>
      <c r="J283" s="133">
        <v>5205366</v>
      </c>
      <c r="K283" s="134">
        <v>100</v>
      </c>
      <c r="L283" s="134"/>
      <c r="M283" s="119"/>
      <c r="N283" s="119"/>
      <c r="O283" s="119"/>
      <c r="P283" s="119"/>
      <c r="Q283" s="119"/>
      <c r="R283" s="119"/>
      <c r="S283" s="130"/>
      <c r="T283" s="130"/>
      <c r="U283" s="130"/>
    </row>
    <row r="284" spans="1:21" s="46" customFormat="1">
      <c r="A284" s="133">
        <v>5305218</v>
      </c>
      <c r="B284" s="134">
        <v>160</v>
      </c>
      <c r="C284" s="134"/>
      <c r="D284" s="145">
        <v>5305355</v>
      </c>
      <c r="E284" s="146">
        <v>120</v>
      </c>
      <c r="F284" s="146"/>
      <c r="G284" s="106">
        <v>5305341</v>
      </c>
      <c r="H284" s="107">
        <v>160</v>
      </c>
      <c r="I284" s="107"/>
      <c r="J284" s="145">
        <v>5305219</v>
      </c>
      <c r="K284" s="146">
        <v>180</v>
      </c>
      <c r="L284" s="146"/>
      <c r="M284" s="119"/>
      <c r="N284" s="119"/>
      <c r="O284" s="119"/>
      <c r="P284" s="119"/>
      <c r="Q284" s="119"/>
      <c r="R284" s="119"/>
      <c r="S284" s="130"/>
      <c r="T284" s="130"/>
      <c r="U284" s="130"/>
    </row>
    <row r="285" spans="1:21" s="46" customFormat="1">
      <c r="A285" s="103">
        <v>5205217</v>
      </c>
      <c r="B285" s="104">
        <v>140</v>
      </c>
      <c r="C285" s="104"/>
      <c r="D285" s="103">
        <v>5205217</v>
      </c>
      <c r="E285" s="104">
        <v>140</v>
      </c>
      <c r="F285" s="104"/>
      <c r="G285" s="122">
        <v>5305300</v>
      </c>
      <c r="H285" s="123">
        <v>150</v>
      </c>
      <c r="I285" s="123"/>
      <c r="J285" s="133">
        <v>5305415</v>
      </c>
      <c r="K285" s="134">
        <v>135</v>
      </c>
      <c r="L285" s="134"/>
      <c r="M285" s="119"/>
      <c r="N285" s="119"/>
      <c r="O285" s="119"/>
      <c r="P285" s="119"/>
      <c r="Q285" s="119"/>
      <c r="R285" s="119"/>
      <c r="S285" s="130"/>
      <c r="T285" s="130"/>
      <c r="U285" s="130"/>
    </row>
    <row r="286" spans="1:21" s="46" customFormat="1">
      <c r="A286" s="133">
        <v>5205213</v>
      </c>
      <c r="B286" s="134">
        <v>135</v>
      </c>
      <c r="C286" s="134"/>
      <c r="D286" s="133">
        <v>5205213</v>
      </c>
      <c r="E286" s="134">
        <v>135</v>
      </c>
      <c r="F286" s="134"/>
      <c r="G286" s="145">
        <v>5205236</v>
      </c>
      <c r="H286" s="146">
        <v>110</v>
      </c>
      <c r="I286" s="146"/>
      <c r="J286" s="145">
        <v>5205236</v>
      </c>
      <c r="K286" s="146">
        <v>110</v>
      </c>
      <c r="L286" s="146"/>
      <c r="M286" s="119"/>
      <c r="N286" s="119"/>
      <c r="O286" s="119"/>
      <c r="P286" s="119"/>
      <c r="Q286" s="119"/>
      <c r="R286" s="119"/>
      <c r="S286" s="130"/>
      <c r="T286" s="130"/>
      <c r="U286" s="130"/>
    </row>
    <row r="287" spans="1:21" s="46" customFormat="1">
      <c r="A287" s="103">
        <v>5205234</v>
      </c>
      <c r="B287" s="104">
        <v>100</v>
      </c>
      <c r="C287" s="104"/>
      <c r="D287" s="103">
        <v>5205234</v>
      </c>
      <c r="E287" s="104">
        <v>100</v>
      </c>
      <c r="F287" s="104"/>
      <c r="G287" s="106">
        <v>5205273</v>
      </c>
      <c r="H287" s="107">
        <v>150</v>
      </c>
      <c r="I287" s="107"/>
      <c r="J287" s="106">
        <v>5205273</v>
      </c>
      <c r="K287" s="107">
        <v>150</v>
      </c>
      <c r="L287" s="107"/>
      <c r="M287" s="119"/>
      <c r="N287" s="119"/>
      <c r="O287" s="119"/>
      <c r="P287" s="119"/>
      <c r="Q287" s="119"/>
      <c r="R287" s="119"/>
      <c r="S287" s="130"/>
      <c r="T287" s="130"/>
      <c r="U287" s="130"/>
    </row>
    <row r="288" spans="1:21" s="46" customFormat="1">
      <c r="A288" s="133">
        <v>5205361</v>
      </c>
      <c r="B288" s="134">
        <v>120</v>
      </c>
      <c r="C288" s="140"/>
      <c r="D288" s="133">
        <v>5205361</v>
      </c>
      <c r="E288" s="134">
        <v>120</v>
      </c>
      <c r="F288" s="140"/>
      <c r="G288" s="145">
        <v>5205206</v>
      </c>
      <c r="H288" s="146">
        <v>120</v>
      </c>
      <c r="I288" s="158"/>
      <c r="J288" s="145">
        <v>5205206</v>
      </c>
      <c r="K288" s="146">
        <v>120</v>
      </c>
      <c r="L288" s="158"/>
      <c r="M288" s="119"/>
      <c r="N288" s="119"/>
      <c r="O288" s="119"/>
      <c r="P288" s="119"/>
      <c r="Q288" s="119"/>
      <c r="R288" s="119"/>
      <c r="S288" s="130"/>
      <c r="T288" s="130"/>
      <c r="U288" s="130"/>
    </row>
    <row r="289" spans="1:21" s="46" customFormat="1">
      <c r="A289" s="103">
        <v>5205231</v>
      </c>
      <c r="B289" s="104">
        <v>120</v>
      </c>
      <c r="C289" s="105"/>
      <c r="D289" s="103">
        <v>5205231</v>
      </c>
      <c r="E289" s="104">
        <v>120</v>
      </c>
      <c r="F289" s="105"/>
      <c r="G289" s="106">
        <v>5305280</v>
      </c>
      <c r="H289" s="107">
        <v>128</v>
      </c>
      <c r="I289" s="108"/>
      <c r="J289" s="160"/>
      <c r="K289" s="160"/>
      <c r="L289" s="160"/>
      <c r="M289" s="119"/>
      <c r="N289" s="119"/>
      <c r="O289" s="119"/>
      <c r="P289" s="119"/>
      <c r="Q289" s="119"/>
      <c r="R289" s="119"/>
      <c r="S289" s="130"/>
      <c r="T289" s="130"/>
      <c r="U289" s="130"/>
    </row>
    <row r="290" spans="1:21" s="46" customFormat="1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30"/>
      <c r="T290" s="130"/>
      <c r="U290" s="130"/>
    </row>
    <row r="291" spans="1:21" s="46" customFormat="1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30"/>
      <c r="T291" s="130"/>
      <c r="U291" s="130"/>
    </row>
    <row r="292" spans="1:21" s="46" customFormat="1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30"/>
      <c r="T292" s="130"/>
      <c r="U292" s="130"/>
    </row>
    <row r="293" spans="1:21" s="46" customFormat="1" ht="15.75" customHeight="1">
      <c r="A293" s="173" t="s">
        <v>167</v>
      </c>
      <c r="B293" s="173"/>
      <c r="C293" s="173"/>
      <c r="D293" s="173"/>
      <c r="E293" s="173"/>
      <c r="F293" s="173"/>
      <c r="G293" s="173"/>
      <c r="H293" s="173"/>
      <c r="I293" s="173"/>
      <c r="J293" s="173"/>
      <c r="K293" s="173"/>
      <c r="L293" s="173"/>
      <c r="M293" s="173"/>
      <c r="N293" s="173"/>
      <c r="O293" s="173"/>
      <c r="P293" s="119"/>
      <c r="Q293" s="119"/>
      <c r="R293" s="119"/>
      <c r="S293" s="130"/>
      <c r="T293" s="130"/>
      <c r="U293" s="130"/>
    </row>
    <row r="294" spans="1:21" s="46" customFormat="1">
      <c r="A294" s="174" t="s">
        <v>180</v>
      </c>
      <c r="B294" s="174"/>
      <c r="C294" s="174"/>
      <c r="D294" s="174"/>
      <c r="E294" s="174"/>
      <c r="F294" s="174"/>
      <c r="G294" s="174"/>
      <c r="H294" s="174"/>
      <c r="I294" s="174"/>
      <c r="J294" s="174"/>
      <c r="K294" s="174"/>
      <c r="L294" s="174"/>
      <c r="M294" s="174"/>
      <c r="N294" s="174"/>
      <c r="O294" s="174"/>
      <c r="P294" s="119"/>
      <c r="Q294" s="119"/>
      <c r="R294" s="119"/>
      <c r="S294" s="130"/>
      <c r="T294" s="130"/>
      <c r="U294" s="130"/>
    </row>
    <row r="295" spans="1:21" s="46" customFormat="1">
      <c r="A295" s="175" t="s">
        <v>168</v>
      </c>
      <c r="B295" s="176"/>
      <c r="C295" s="176"/>
      <c r="D295" s="176"/>
      <c r="E295" s="176"/>
      <c r="F295" s="177"/>
      <c r="G295" s="178"/>
      <c r="H295" s="179"/>
      <c r="I295" s="180"/>
      <c r="J295" s="175" t="s">
        <v>169</v>
      </c>
      <c r="K295" s="176"/>
      <c r="L295" s="176"/>
      <c r="M295" s="176"/>
      <c r="N295" s="176"/>
      <c r="O295" s="177"/>
      <c r="P295" s="119"/>
      <c r="Q295" s="119"/>
      <c r="R295" s="119"/>
      <c r="S295" s="130"/>
      <c r="T295" s="130"/>
      <c r="U295" s="130"/>
    </row>
    <row r="296" spans="1:21" s="46" customFormat="1">
      <c r="A296" s="178" t="s">
        <v>110</v>
      </c>
      <c r="B296" s="179"/>
      <c r="C296" s="180"/>
      <c r="D296" s="178" t="s">
        <v>111</v>
      </c>
      <c r="E296" s="179"/>
      <c r="F296" s="180"/>
      <c r="G296" s="178" t="s">
        <v>112</v>
      </c>
      <c r="H296" s="179"/>
      <c r="I296" s="180"/>
      <c r="J296" s="178" t="s">
        <v>113</v>
      </c>
      <c r="K296" s="179"/>
      <c r="L296" s="180"/>
      <c r="M296" s="178" t="s">
        <v>181</v>
      </c>
      <c r="N296" s="179"/>
      <c r="O296" s="180"/>
      <c r="P296" s="119"/>
      <c r="Q296" s="119"/>
      <c r="R296" s="119"/>
      <c r="S296" s="130"/>
      <c r="T296" s="130"/>
      <c r="U296" s="130"/>
    </row>
    <row r="297" spans="1:21" s="46" customFormat="1" ht="36">
      <c r="A297" s="117" t="s">
        <v>114</v>
      </c>
      <c r="B297" s="118" t="s">
        <v>115</v>
      </c>
      <c r="C297" s="118" t="s">
        <v>172</v>
      </c>
      <c r="D297" s="117" t="s">
        <v>114</v>
      </c>
      <c r="E297" s="118" t="s">
        <v>115</v>
      </c>
      <c r="F297" s="118" t="s">
        <v>172</v>
      </c>
      <c r="G297" s="117" t="s">
        <v>114</v>
      </c>
      <c r="H297" s="118" t="s">
        <v>115</v>
      </c>
      <c r="I297" s="118" t="s">
        <v>172</v>
      </c>
      <c r="J297" s="117" t="s">
        <v>114</v>
      </c>
      <c r="K297" s="118" t="s">
        <v>115</v>
      </c>
      <c r="L297" s="118" t="s">
        <v>172</v>
      </c>
      <c r="M297" s="117" t="s">
        <v>114</v>
      </c>
      <c r="N297" s="118" t="s">
        <v>115</v>
      </c>
      <c r="O297" s="118" t="s">
        <v>172</v>
      </c>
      <c r="P297" s="119"/>
      <c r="Q297" s="119"/>
      <c r="R297" s="119"/>
      <c r="S297" s="130"/>
      <c r="T297" s="130"/>
      <c r="U297" s="130"/>
    </row>
    <row r="298" spans="1:21" s="46" customFormat="1">
      <c r="A298" s="122">
        <v>5205208</v>
      </c>
      <c r="B298" s="123">
        <v>110</v>
      </c>
      <c r="C298" s="151"/>
      <c r="D298" s="122">
        <v>5205208</v>
      </c>
      <c r="E298" s="123">
        <v>110</v>
      </c>
      <c r="F298" s="151"/>
      <c r="G298" s="100">
        <v>5205675</v>
      </c>
      <c r="H298" s="101">
        <v>120</v>
      </c>
      <c r="I298" s="102"/>
      <c r="J298" s="100">
        <v>5205675</v>
      </c>
      <c r="K298" s="101">
        <v>120</v>
      </c>
      <c r="L298" s="102"/>
      <c r="M298" s="122">
        <v>5305301</v>
      </c>
      <c r="N298" s="123">
        <v>100</v>
      </c>
      <c r="O298" s="151"/>
      <c r="P298" s="119"/>
      <c r="Q298" s="119"/>
      <c r="R298" s="119"/>
      <c r="S298" s="130"/>
      <c r="T298" s="130"/>
      <c r="U298" s="130"/>
    </row>
    <row r="299" spans="1:21" s="46" customFormat="1">
      <c r="A299" s="133">
        <v>5205286</v>
      </c>
      <c r="B299" s="134">
        <v>100</v>
      </c>
      <c r="C299" s="148"/>
      <c r="D299" s="133">
        <v>5205286</v>
      </c>
      <c r="E299" s="134">
        <v>100</v>
      </c>
      <c r="F299" s="148"/>
      <c r="G299" s="103">
        <v>5205321</v>
      </c>
      <c r="H299" s="104">
        <v>100</v>
      </c>
      <c r="I299" s="105"/>
      <c r="J299" s="103">
        <v>5205321</v>
      </c>
      <c r="K299" s="104">
        <v>100</v>
      </c>
      <c r="L299" s="105"/>
      <c r="M299" s="133">
        <v>5305419</v>
      </c>
      <c r="N299" s="134">
        <v>140</v>
      </c>
      <c r="O299" s="148"/>
      <c r="P299" s="119"/>
      <c r="Q299" s="119"/>
      <c r="R299" s="119"/>
      <c r="S299" s="130"/>
      <c r="T299" s="130"/>
      <c r="U299" s="130"/>
    </row>
    <row r="300" spans="1:21" s="46" customFormat="1">
      <c r="A300" s="122">
        <v>5205356</v>
      </c>
      <c r="B300" s="123">
        <v>130</v>
      </c>
      <c r="C300" s="151"/>
      <c r="D300" s="122">
        <v>5205356</v>
      </c>
      <c r="E300" s="123">
        <v>130</v>
      </c>
      <c r="F300" s="151"/>
      <c r="G300" s="100">
        <v>5205217</v>
      </c>
      <c r="H300" s="101">
        <v>140</v>
      </c>
      <c r="I300" s="102"/>
      <c r="J300" s="100">
        <v>5205217</v>
      </c>
      <c r="K300" s="101">
        <v>140</v>
      </c>
      <c r="L300" s="102"/>
      <c r="M300" s="122">
        <v>5205358</v>
      </c>
      <c r="N300" s="123">
        <v>120</v>
      </c>
      <c r="O300" s="151"/>
      <c r="P300" s="119"/>
      <c r="Q300" s="119"/>
      <c r="R300" s="119"/>
      <c r="S300" s="130"/>
      <c r="T300" s="130"/>
      <c r="U300" s="130"/>
    </row>
    <row r="301" spans="1:21" s="46" customFormat="1">
      <c r="A301" s="133">
        <v>5205674</v>
      </c>
      <c r="B301" s="134">
        <v>160</v>
      </c>
      <c r="C301" s="148"/>
      <c r="D301" s="133">
        <v>5205674</v>
      </c>
      <c r="E301" s="134">
        <v>160</v>
      </c>
      <c r="F301" s="148"/>
      <c r="G301" s="103">
        <v>5305343</v>
      </c>
      <c r="H301" s="104">
        <v>100</v>
      </c>
      <c r="I301" s="105"/>
      <c r="J301" s="133">
        <v>5205268</v>
      </c>
      <c r="K301" s="134">
        <v>100</v>
      </c>
      <c r="L301" s="148"/>
      <c r="M301" s="133">
        <v>5205268</v>
      </c>
      <c r="N301" s="134">
        <v>100</v>
      </c>
      <c r="O301" s="148"/>
      <c r="P301" s="119"/>
      <c r="Q301" s="119"/>
      <c r="R301" s="119"/>
      <c r="S301" s="130"/>
      <c r="T301" s="130"/>
      <c r="U301" s="130"/>
    </row>
    <row r="302" spans="1:21" s="46" customFormat="1">
      <c r="A302" s="122">
        <v>5205339</v>
      </c>
      <c r="B302" s="123">
        <v>75</v>
      </c>
      <c r="C302" s="151"/>
      <c r="D302" s="122">
        <v>5205339</v>
      </c>
      <c r="E302" s="123">
        <v>75</v>
      </c>
      <c r="F302" s="151"/>
      <c r="G302" s="122">
        <v>5205239</v>
      </c>
      <c r="H302" s="123">
        <v>120</v>
      </c>
      <c r="I302" s="151"/>
      <c r="J302" s="122">
        <v>5205239</v>
      </c>
      <c r="K302" s="123">
        <v>120</v>
      </c>
      <c r="L302" s="151"/>
      <c r="M302" s="103">
        <v>5305290</v>
      </c>
      <c r="N302" s="104">
        <v>220</v>
      </c>
      <c r="O302" s="105"/>
      <c r="P302" s="119"/>
      <c r="Q302" s="119"/>
      <c r="R302" s="119"/>
      <c r="S302" s="130"/>
      <c r="T302" s="130"/>
      <c r="U302" s="130"/>
    </row>
    <row r="303" spans="1:21" s="46" customFormat="1">
      <c r="A303" s="133">
        <v>5205208</v>
      </c>
      <c r="B303" s="134">
        <v>110</v>
      </c>
      <c r="C303" s="148"/>
      <c r="D303" s="133">
        <v>5205208</v>
      </c>
      <c r="E303" s="134">
        <v>110</v>
      </c>
      <c r="F303" s="148"/>
      <c r="G303" s="100">
        <v>5205675</v>
      </c>
      <c r="H303" s="101">
        <v>120</v>
      </c>
      <c r="I303" s="102"/>
      <c r="J303" s="100">
        <v>5205675</v>
      </c>
      <c r="K303" s="101">
        <v>120</v>
      </c>
      <c r="L303" s="102"/>
      <c r="M303" s="133">
        <v>5305301</v>
      </c>
      <c r="N303" s="134">
        <v>100</v>
      </c>
      <c r="O303" s="148"/>
      <c r="P303" s="119"/>
      <c r="Q303" s="119"/>
      <c r="R303" s="119"/>
      <c r="S303" s="130"/>
      <c r="T303" s="130"/>
      <c r="U303" s="130"/>
    </row>
    <row r="304" spans="1:21" s="46" customFormat="1">
      <c r="A304" s="122">
        <v>5205286</v>
      </c>
      <c r="B304" s="123">
        <v>100</v>
      </c>
      <c r="C304" s="151"/>
      <c r="D304" s="122">
        <v>5205286</v>
      </c>
      <c r="E304" s="123">
        <v>100</v>
      </c>
      <c r="F304" s="151"/>
      <c r="G304" s="103">
        <v>5205321</v>
      </c>
      <c r="H304" s="104">
        <v>100</v>
      </c>
      <c r="I304" s="105"/>
      <c r="J304" s="103">
        <v>5205321</v>
      </c>
      <c r="K304" s="104">
        <v>100</v>
      </c>
      <c r="L304" s="105"/>
      <c r="M304" s="122">
        <v>5305419</v>
      </c>
      <c r="N304" s="123">
        <v>140</v>
      </c>
      <c r="O304" s="151"/>
      <c r="P304" s="119"/>
      <c r="Q304" s="119"/>
      <c r="R304" s="119"/>
      <c r="S304" s="130"/>
      <c r="T304" s="130"/>
      <c r="U304" s="130"/>
    </row>
    <row r="305" spans="1:31" s="46" customFormat="1">
      <c r="A305" s="133">
        <v>5205356</v>
      </c>
      <c r="B305" s="134">
        <v>130</v>
      </c>
      <c r="C305" s="148"/>
      <c r="D305" s="133">
        <v>5205356</v>
      </c>
      <c r="E305" s="134">
        <v>130</v>
      </c>
      <c r="F305" s="148"/>
      <c r="G305" s="100">
        <v>5205217</v>
      </c>
      <c r="H305" s="101">
        <v>140</v>
      </c>
      <c r="I305" s="102"/>
      <c r="J305" s="100">
        <v>5205217</v>
      </c>
      <c r="K305" s="101">
        <v>140</v>
      </c>
      <c r="L305" s="102"/>
      <c r="M305" s="133">
        <v>5205358</v>
      </c>
      <c r="N305" s="134">
        <v>120</v>
      </c>
      <c r="O305" s="148"/>
      <c r="P305" s="119"/>
      <c r="Q305" s="119"/>
      <c r="R305" s="119"/>
      <c r="S305" s="130"/>
      <c r="T305" s="130"/>
      <c r="U305" s="130"/>
    </row>
    <row r="306" spans="1:31" s="46" customFormat="1">
      <c r="A306" s="122">
        <v>5205674</v>
      </c>
      <c r="B306" s="123">
        <v>160</v>
      </c>
      <c r="C306" s="151"/>
      <c r="D306" s="122">
        <v>5205674</v>
      </c>
      <c r="E306" s="123">
        <v>160</v>
      </c>
      <c r="F306" s="151"/>
      <c r="G306" s="103">
        <v>5205268</v>
      </c>
      <c r="H306" s="104">
        <v>100</v>
      </c>
      <c r="I306" s="105"/>
      <c r="J306" s="103">
        <v>5205268</v>
      </c>
      <c r="K306" s="104">
        <v>100</v>
      </c>
      <c r="L306" s="105"/>
      <c r="M306" s="133">
        <v>5205358</v>
      </c>
      <c r="N306" s="134">
        <v>120</v>
      </c>
      <c r="O306" s="148"/>
      <c r="P306" s="119"/>
      <c r="Q306" s="119"/>
      <c r="R306" s="119"/>
      <c r="S306" s="130"/>
      <c r="T306" s="130"/>
      <c r="U306" s="130"/>
    </row>
    <row r="307" spans="1:31" s="46" customFormat="1">
      <c r="A307" s="133">
        <v>5305343</v>
      </c>
      <c r="B307" s="134">
        <v>100</v>
      </c>
      <c r="C307" s="148"/>
      <c r="D307" s="161">
        <v>5205208</v>
      </c>
      <c r="E307" s="162">
        <v>110</v>
      </c>
      <c r="F307" s="163"/>
      <c r="G307" s="100">
        <v>5205208</v>
      </c>
      <c r="H307" s="101">
        <v>110</v>
      </c>
      <c r="I307" s="102"/>
      <c r="J307" s="161">
        <v>5205366</v>
      </c>
      <c r="K307" s="162">
        <v>100</v>
      </c>
      <c r="L307" s="163"/>
      <c r="M307" s="161">
        <v>5205366</v>
      </c>
      <c r="N307" s="162">
        <v>100</v>
      </c>
      <c r="O307" s="163"/>
      <c r="P307" s="119"/>
      <c r="Q307" s="119"/>
      <c r="R307" s="119"/>
      <c r="S307" s="130"/>
      <c r="T307" s="130"/>
      <c r="U307" s="130"/>
    </row>
    <row r="308" spans="1:31" s="46" customFormat="1">
      <c r="A308" s="122">
        <v>5205270</v>
      </c>
      <c r="B308" s="123">
        <v>300</v>
      </c>
      <c r="C308" s="151"/>
      <c r="D308" s="122">
        <v>5205270</v>
      </c>
      <c r="E308" s="123">
        <v>300</v>
      </c>
      <c r="F308" s="151"/>
      <c r="G308" s="103">
        <v>5305417</v>
      </c>
      <c r="H308" s="104">
        <v>120</v>
      </c>
      <c r="I308" s="105"/>
      <c r="J308" s="122">
        <v>5205675</v>
      </c>
      <c r="K308" s="123">
        <v>120</v>
      </c>
      <c r="L308" s="151"/>
      <c r="M308" s="122">
        <v>5205675</v>
      </c>
      <c r="N308" s="123">
        <v>120</v>
      </c>
      <c r="O308" s="151"/>
      <c r="P308" s="119"/>
      <c r="Q308" s="119"/>
      <c r="R308" s="119"/>
      <c r="S308" s="130"/>
      <c r="T308" s="130"/>
      <c r="U308" s="130"/>
    </row>
    <row r="309" spans="1:31" s="46" customFormat="1">
      <c r="A309" s="133">
        <v>5205286</v>
      </c>
      <c r="B309" s="134">
        <v>100</v>
      </c>
      <c r="C309" s="148"/>
      <c r="D309" s="133">
        <v>5205286</v>
      </c>
      <c r="E309" s="134">
        <v>100</v>
      </c>
      <c r="F309" s="148"/>
      <c r="G309" s="100">
        <v>5205321</v>
      </c>
      <c r="H309" s="101">
        <v>100</v>
      </c>
      <c r="I309" s="102"/>
      <c r="J309" s="100">
        <v>5205321</v>
      </c>
      <c r="K309" s="101">
        <v>100</v>
      </c>
      <c r="L309" s="102"/>
      <c r="M309" s="133">
        <v>5305301</v>
      </c>
      <c r="N309" s="134">
        <v>100</v>
      </c>
      <c r="O309" s="148"/>
      <c r="P309" s="119"/>
      <c r="Q309" s="119"/>
      <c r="R309" s="119"/>
      <c r="S309" s="130"/>
      <c r="T309" s="130"/>
      <c r="U309" s="130"/>
    </row>
    <row r="310" spans="1:31" s="46" customFormat="1">
      <c r="A310" s="122">
        <v>5205212</v>
      </c>
      <c r="B310" s="123">
        <v>135</v>
      </c>
      <c r="C310" s="151"/>
      <c r="D310" s="122">
        <v>5205212</v>
      </c>
      <c r="E310" s="123">
        <v>135</v>
      </c>
      <c r="F310" s="151"/>
      <c r="G310" s="103">
        <v>5205208</v>
      </c>
      <c r="H310" s="104">
        <v>110</v>
      </c>
      <c r="I310" s="105"/>
      <c r="J310" s="103">
        <v>5205208</v>
      </c>
      <c r="K310" s="104">
        <v>110</v>
      </c>
      <c r="L310" s="105"/>
      <c r="M310" s="122">
        <v>5305290</v>
      </c>
      <c r="N310" s="123">
        <v>220</v>
      </c>
      <c r="O310" s="151"/>
      <c r="P310" s="119"/>
      <c r="Q310" s="119"/>
      <c r="R310" s="119"/>
      <c r="S310" s="130"/>
      <c r="T310" s="130"/>
      <c r="U310" s="130"/>
    </row>
    <row r="311" spans="1:31" s="46" customFormat="1">
      <c r="A311" s="133">
        <v>5205339</v>
      </c>
      <c r="B311" s="134">
        <v>75</v>
      </c>
      <c r="C311" s="148"/>
      <c r="D311" s="133">
        <v>5205339</v>
      </c>
      <c r="E311" s="134">
        <v>75</v>
      </c>
      <c r="F311" s="148"/>
      <c r="G311" s="100">
        <v>5205239</v>
      </c>
      <c r="H311" s="101">
        <v>120</v>
      </c>
      <c r="I311" s="102"/>
      <c r="J311" s="100">
        <v>5205239</v>
      </c>
      <c r="K311" s="101">
        <v>120</v>
      </c>
      <c r="L311" s="102"/>
      <c r="M311" s="133">
        <v>5305301</v>
      </c>
      <c r="N311" s="134">
        <v>100</v>
      </c>
      <c r="O311" s="148"/>
      <c r="P311" s="119"/>
      <c r="Q311" s="119"/>
      <c r="R311" s="119"/>
      <c r="S311" s="130"/>
      <c r="T311" s="130"/>
      <c r="U311" s="130"/>
    </row>
    <row r="312" spans="1:31" s="46" customFormat="1">
      <c r="A312" s="122">
        <v>5205208</v>
      </c>
      <c r="B312" s="123">
        <v>110</v>
      </c>
      <c r="C312" s="151"/>
      <c r="D312" s="122">
        <v>5205208</v>
      </c>
      <c r="E312" s="123">
        <v>110</v>
      </c>
      <c r="F312" s="151"/>
      <c r="G312" s="103">
        <v>5205675</v>
      </c>
      <c r="H312" s="104">
        <v>120</v>
      </c>
      <c r="I312" s="105"/>
      <c r="J312" s="103">
        <v>5205675</v>
      </c>
      <c r="K312" s="104">
        <v>120</v>
      </c>
      <c r="L312" s="105"/>
      <c r="M312" s="122">
        <v>5305419</v>
      </c>
      <c r="N312" s="123">
        <v>140</v>
      </c>
      <c r="O312" s="151"/>
      <c r="P312" s="119"/>
      <c r="Q312" s="119"/>
      <c r="R312" s="119"/>
      <c r="S312" s="130"/>
      <c r="T312" s="130"/>
      <c r="U312" s="130"/>
    </row>
    <row r="313" spans="1:31" s="46" customFormat="1">
      <c r="A313" s="133">
        <v>5205286</v>
      </c>
      <c r="B313" s="134">
        <v>100</v>
      </c>
      <c r="C313" s="148"/>
      <c r="D313" s="133">
        <v>5205286</v>
      </c>
      <c r="E313" s="134">
        <v>100</v>
      </c>
      <c r="F313" s="148"/>
      <c r="G313" s="100">
        <v>5205321</v>
      </c>
      <c r="H313" s="101">
        <v>100</v>
      </c>
      <c r="I313" s="164"/>
      <c r="J313" s="100">
        <v>5205321</v>
      </c>
      <c r="K313" s="101">
        <v>100</v>
      </c>
      <c r="L313" s="164"/>
      <c r="M313" s="133">
        <v>5305343</v>
      </c>
      <c r="N313" s="134">
        <v>100</v>
      </c>
      <c r="O313" s="148"/>
      <c r="P313" s="119"/>
      <c r="Q313" s="119"/>
      <c r="R313" s="119"/>
      <c r="S313" s="130"/>
      <c r="T313" s="130"/>
      <c r="U313" s="130"/>
    </row>
    <row r="314" spans="1:31" s="46" customFormat="1">
      <c r="A314" s="122">
        <v>5205356</v>
      </c>
      <c r="B314" s="123">
        <v>130</v>
      </c>
      <c r="C314" s="151"/>
      <c r="D314" s="122">
        <v>5205356</v>
      </c>
      <c r="E314" s="123">
        <v>130</v>
      </c>
      <c r="F314" s="151"/>
      <c r="G314" s="103">
        <v>5205217</v>
      </c>
      <c r="H314" s="104">
        <v>140</v>
      </c>
      <c r="I314" s="105"/>
      <c r="J314" s="103">
        <v>5205217</v>
      </c>
      <c r="K314" s="104">
        <v>140</v>
      </c>
      <c r="L314" s="105"/>
      <c r="M314" s="122">
        <v>5305219</v>
      </c>
      <c r="N314" s="123">
        <v>180</v>
      </c>
      <c r="O314" s="151"/>
      <c r="P314" s="119"/>
      <c r="Q314" s="119"/>
      <c r="R314" s="119"/>
      <c r="S314" s="130"/>
      <c r="T314" s="130"/>
      <c r="U314" s="130"/>
    </row>
    <row r="315" spans="1:31" s="46" customFormat="1">
      <c r="A315" s="133">
        <v>5205358</v>
      </c>
      <c r="B315" s="134">
        <v>120</v>
      </c>
      <c r="C315" s="148"/>
      <c r="D315" s="133">
        <v>5205358</v>
      </c>
      <c r="E315" s="134">
        <v>120</v>
      </c>
      <c r="F315" s="148"/>
      <c r="G315" s="100">
        <v>5205674</v>
      </c>
      <c r="H315" s="101">
        <v>160</v>
      </c>
      <c r="I315" s="102"/>
      <c r="J315" s="100">
        <v>5205674</v>
      </c>
      <c r="K315" s="101">
        <v>160</v>
      </c>
      <c r="L315" s="102"/>
      <c r="M315" s="133">
        <v>5205268</v>
      </c>
      <c r="N315" s="134">
        <v>100</v>
      </c>
      <c r="O315" s="148"/>
      <c r="P315" s="119"/>
      <c r="Q315" s="119"/>
      <c r="R315" s="119"/>
      <c r="S315" s="130"/>
      <c r="T315" s="130"/>
      <c r="U315" s="130"/>
    </row>
    <row r="316" spans="1:31">
      <c r="A316" s="114"/>
      <c r="B316" s="115"/>
      <c r="C316" s="116"/>
      <c r="D316" s="114"/>
      <c r="E316" s="115"/>
      <c r="F316" s="116"/>
      <c r="G316" s="114"/>
      <c r="H316" s="115"/>
      <c r="I316" s="116"/>
      <c r="J316" s="114"/>
      <c r="K316" s="115"/>
      <c r="L316" s="116"/>
      <c r="M316" s="133">
        <v>5205268</v>
      </c>
      <c r="N316" s="134">
        <v>100</v>
      </c>
      <c r="O316" s="148"/>
    </row>
    <row r="319" spans="1:31" s="46" customFormat="1">
      <c r="A319" s="173" t="s">
        <v>167</v>
      </c>
      <c r="B319" s="173"/>
      <c r="C319" s="173"/>
      <c r="D319" s="173"/>
      <c r="E319" s="173"/>
      <c r="F319" s="173"/>
      <c r="G319" s="173"/>
      <c r="H319" s="173"/>
      <c r="I319" s="173"/>
      <c r="J319" s="173"/>
      <c r="K319" s="173"/>
      <c r="L319" s="173"/>
      <c r="M319" s="173"/>
      <c r="N319" s="173"/>
      <c r="O319" s="173"/>
      <c r="P319" s="119"/>
      <c r="Q319" s="119"/>
      <c r="R319" s="119"/>
      <c r="S319" s="119"/>
      <c r="T319" s="119"/>
      <c r="U319" s="119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</row>
    <row r="320" spans="1:31" s="46" customFormat="1">
      <c r="A320" s="174" t="s">
        <v>180</v>
      </c>
      <c r="B320" s="174"/>
      <c r="C320" s="174"/>
      <c r="D320" s="174"/>
      <c r="E320" s="174"/>
      <c r="F320" s="174"/>
      <c r="G320" s="174"/>
      <c r="H320" s="174"/>
      <c r="I320" s="174"/>
      <c r="J320" s="174"/>
      <c r="K320" s="174"/>
      <c r="L320" s="174"/>
      <c r="M320" s="174"/>
      <c r="N320" s="174"/>
      <c r="O320" s="174"/>
      <c r="P320" s="119"/>
      <c r="Q320" s="119"/>
      <c r="R320" s="119"/>
      <c r="S320" s="119"/>
      <c r="T320" s="119"/>
      <c r="U320" s="119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</row>
    <row r="321" spans="1:31" s="46" customFormat="1">
      <c r="A321" s="175" t="s">
        <v>171</v>
      </c>
      <c r="B321" s="176"/>
      <c r="C321" s="176"/>
      <c r="D321" s="176"/>
      <c r="E321" s="176"/>
      <c r="F321" s="177"/>
      <c r="G321" s="178"/>
      <c r="H321" s="179"/>
      <c r="I321" s="180"/>
      <c r="J321" s="175" t="s">
        <v>169</v>
      </c>
      <c r="K321" s="176"/>
      <c r="L321" s="176"/>
      <c r="M321" s="176"/>
      <c r="N321" s="176"/>
      <c r="O321" s="177"/>
      <c r="P321" s="119"/>
      <c r="Q321" s="119"/>
      <c r="R321" s="119"/>
      <c r="S321" s="119"/>
      <c r="T321" s="119"/>
      <c r="U321" s="119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</row>
    <row r="322" spans="1:31" s="46" customFormat="1">
      <c r="A322" s="178" t="s">
        <v>110</v>
      </c>
      <c r="B322" s="179"/>
      <c r="C322" s="180"/>
      <c r="D322" s="178" t="s">
        <v>111</v>
      </c>
      <c r="E322" s="179"/>
      <c r="F322" s="180"/>
      <c r="G322" s="178" t="s">
        <v>112</v>
      </c>
      <c r="H322" s="179"/>
      <c r="I322" s="180"/>
      <c r="J322" s="178" t="s">
        <v>113</v>
      </c>
      <c r="K322" s="179"/>
      <c r="L322" s="180"/>
      <c r="M322" s="178" t="s">
        <v>181</v>
      </c>
      <c r="N322" s="179"/>
      <c r="O322" s="180"/>
      <c r="P322" s="119"/>
      <c r="Q322" s="119"/>
      <c r="R322" s="119"/>
      <c r="S322" s="119"/>
      <c r="T322" s="119"/>
      <c r="U322" s="119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</row>
    <row r="323" spans="1:31" s="46" customFormat="1" ht="36">
      <c r="A323" s="117" t="s">
        <v>114</v>
      </c>
      <c r="B323" s="118" t="s">
        <v>115</v>
      </c>
      <c r="C323" s="118" t="s">
        <v>172</v>
      </c>
      <c r="D323" s="117" t="s">
        <v>114</v>
      </c>
      <c r="E323" s="118" t="s">
        <v>115</v>
      </c>
      <c r="F323" s="118" t="s">
        <v>172</v>
      </c>
      <c r="G323" s="117" t="s">
        <v>114</v>
      </c>
      <c r="H323" s="118" t="s">
        <v>115</v>
      </c>
      <c r="I323" s="118" t="s">
        <v>172</v>
      </c>
      <c r="J323" s="117" t="s">
        <v>114</v>
      </c>
      <c r="K323" s="118" t="s">
        <v>115</v>
      </c>
      <c r="L323" s="118" t="s">
        <v>172</v>
      </c>
      <c r="M323" s="117" t="s">
        <v>114</v>
      </c>
      <c r="N323" s="118" t="s">
        <v>115</v>
      </c>
      <c r="O323" s="118" t="s">
        <v>172</v>
      </c>
      <c r="P323" s="119"/>
      <c r="Q323" s="119"/>
      <c r="R323" s="119"/>
      <c r="S323" s="119"/>
      <c r="T323" s="119"/>
      <c r="U323" s="119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</row>
    <row r="324" spans="1:31" s="46" customFormat="1">
      <c r="A324" s="145">
        <v>5205208</v>
      </c>
      <c r="B324" s="146">
        <v>110</v>
      </c>
      <c r="C324" s="147"/>
      <c r="D324" s="145">
        <v>5205208</v>
      </c>
      <c r="E324" s="146">
        <v>110</v>
      </c>
      <c r="F324" s="147"/>
      <c r="G324" s="100">
        <v>5305218</v>
      </c>
      <c r="H324" s="101">
        <v>160</v>
      </c>
      <c r="I324" s="102"/>
      <c r="J324" s="106">
        <v>5305301</v>
      </c>
      <c r="K324" s="107">
        <v>100</v>
      </c>
      <c r="L324" s="108"/>
      <c r="M324" s="103">
        <v>5305419</v>
      </c>
      <c r="N324" s="104">
        <v>140</v>
      </c>
      <c r="O324" s="105"/>
      <c r="P324" s="119"/>
      <c r="Q324" s="119"/>
      <c r="R324" s="119"/>
      <c r="S324" s="119"/>
      <c r="T324" s="119"/>
      <c r="U324" s="119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</row>
    <row r="325" spans="1:31" s="46" customFormat="1">
      <c r="A325" s="106">
        <v>5205675</v>
      </c>
      <c r="B325" s="107">
        <v>120</v>
      </c>
      <c r="C325" s="108"/>
      <c r="D325" s="106">
        <v>5205675</v>
      </c>
      <c r="E325" s="107">
        <v>120</v>
      </c>
      <c r="F325" s="108"/>
      <c r="G325" s="133">
        <v>5205286</v>
      </c>
      <c r="H325" s="134">
        <v>100</v>
      </c>
      <c r="I325" s="148"/>
      <c r="J325" s="133">
        <v>5205286</v>
      </c>
      <c r="K325" s="134">
        <v>100</v>
      </c>
      <c r="L325" s="148"/>
      <c r="M325" s="100">
        <v>5205356</v>
      </c>
      <c r="N325" s="101">
        <v>130</v>
      </c>
      <c r="O325" s="102"/>
      <c r="P325" s="119"/>
      <c r="Q325" s="119"/>
      <c r="R325" s="119"/>
      <c r="S325" s="119"/>
      <c r="T325" s="119"/>
      <c r="U325" s="119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</row>
    <row r="326" spans="1:31" s="46" customFormat="1">
      <c r="A326" s="100">
        <v>5205321</v>
      </c>
      <c r="B326" s="101">
        <v>100</v>
      </c>
      <c r="C326" s="102"/>
      <c r="D326" s="100">
        <v>5205321</v>
      </c>
      <c r="E326" s="101">
        <v>100</v>
      </c>
      <c r="F326" s="102"/>
      <c r="G326" s="145">
        <v>5205339</v>
      </c>
      <c r="H326" s="146">
        <v>75</v>
      </c>
      <c r="I326" s="147"/>
      <c r="J326" s="145">
        <v>5205339</v>
      </c>
      <c r="K326" s="146">
        <v>75</v>
      </c>
      <c r="L326" s="147"/>
      <c r="M326" s="100">
        <v>5205356</v>
      </c>
      <c r="N326" s="101">
        <v>130</v>
      </c>
      <c r="O326" s="102"/>
      <c r="P326" s="119"/>
      <c r="Q326" s="119"/>
      <c r="R326" s="119"/>
      <c r="S326" s="119"/>
      <c r="T326" s="119"/>
      <c r="U326" s="119"/>
      <c r="V326" s="60"/>
      <c r="W326" s="60"/>
      <c r="X326" s="60"/>
      <c r="Y326" s="60"/>
      <c r="Z326" s="60"/>
      <c r="AA326" s="60"/>
      <c r="AB326" s="60"/>
      <c r="AC326" s="60"/>
      <c r="AD326" s="60"/>
      <c r="AE326" s="60"/>
    </row>
    <row r="327" spans="1:31" s="46" customFormat="1">
      <c r="A327" s="133">
        <v>5205217</v>
      </c>
      <c r="B327" s="134">
        <v>140</v>
      </c>
      <c r="C327" s="148"/>
      <c r="D327" s="133">
        <v>5205217</v>
      </c>
      <c r="E327" s="134">
        <v>140</v>
      </c>
      <c r="F327" s="148"/>
      <c r="G327" s="106">
        <v>5205358</v>
      </c>
      <c r="H327" s="107">
        <v>120</v>
      </c>
      <c r="I327" s="108"/>
      <c r="J327" s="106">
        <v>5205358</v>
      </c>
      <c r="K327" s="107">
        <v>120</v>
      </c>
      <c r="L327" s="108"/>
      <c r="M327" s="133">
        <v>5305343</v>
      </c>
      <c r="N327" s="134">
        <v>100</v>
      </c>
      <c r="O327" s="148"/>
      <c r="P327" s="119"/>
      <c r="Q327" s="119"/>
      <c r="R327" s="119"/>
      <c r="S327" s="119"/>
      <c r="T327" s="119"/>
      <c r="U327" s="119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</row>
    <row r="328" spans="1:31" s="46" customFormat="1">
      <c r="A328" s="145">
        <v>5205674</v>
      </c>
      <c r="B328" s="146">
        <v>160</v>
      </c>
      <c r="C328" s="147"/>
      <c r="D328" s="145">
        <v>5205674</v>
      </c>
      <c r="E328" s="146">
        <v>160</v>
      </c>
      <c r="F328" s="147"/>
      <c r="G328" s="100">
        <v>5205268</v>
      </c>
      <c r="H328" s="101">
        <v>100</v>
      </c>
      <c r="I328" s="102"/>
      <c r="J328" s="100">
        <v>5205268</v>
      </c>
      <c r="K328" s="101">
        <v>100</v>
      </c>
      <c r="L328" s="102"/>
      <c r="M328" s="103">
        <v>5305417</v>
      </c>
      <c r="N328" s="104">
        <v>120</v>
      </c>
      <c r="O328" s="105"/>
      <c r="P328" s="119"/>
      <c r="Q328" s="119"/>
      <c r="R328" s="119"/>
      <c r="S328" s="119"/>
      <c r="T328" s="119"/>
      <c r="U328" s="119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</row>
    <row r="329" spans="1:31" s="46" customFormat="1">
      <c r="A329" s="106">
        <v>5205366</v>
      </c>
      <c r="B329" s="107">
        <v>100</v>
      </c>
      <c r="C329" s="108"/>
      <c r="D329" s="106">
        <v>5205366</v>
      </c>
      <c r="E329" s="107">
        <v>100</v>
      </c>
      <c r="F329" s="108"/>
      <c r="G329" s="133">
        <v>5205270</v>
      </c>
      <c r="H329" s="134">
        <v>300</v>
      </c>
      <c r="I329" s="148"/>
      <c r="J329" s="133">
        <v>5205270</v>
      </c>
      <c r="K329" s="134">
        <v>300</v>
      </c>
      <c r="L329" s="148"/>
      <c r="M329" s="145">
        <v>5205296</v>
      </c>
      <c r="N329" s="146">
        <v>400</v>
      </c>
      <c r="O329" s="147"/>
      <c r="P329" s="119"/>
      <c r="Q329" s="119"/>
      <c r="R329" s="119"/>
      <c r="S329" s="119"/>
      <c r="T329" s="119"/>
      <c r="U329" s="119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</row>
    <row r="330" spans="1:31" s="46" customFormat="1">
      <c r="A330" s="145">
        <v>5205208</v>
      </c>
      <c r="B330" s="146">
        <v>110</v>
      </c>
      <c r="C330" s="147"/>
      <c r="D330" s="145">
        <v>5205208</v>
      </c>
      <c r="E330" s="146">
        <v>110</v>
      </c>
      <c r="F330" s="147"/>
      <c r="G330" s="103">
        <v>5205675</v>
      </c>
      <c r="H330" s="104">
        <v>120</v>
      </c>
      <c r="I330" s="105"/>
      <c r="J330" s="103">
        <v>5205675</v>
      </c>
      <c r="K330" s="104">
        <v>120</v>
      </c>
      <c r="L330" s="105"/>
      <c r="M330" s="100">
        <v>5305301</v>
      </c>
      <c r="N330" s="101">
        <v>100</v>
      </c>
      <c r="O330" s="102"/>
      <c r="P330" s="119"/>
      <c r="Q330" s="119"/>
      <c r="R330" s="119"/>
      <c r="S330" s="119"/>
      <c r="T330" s="119"/>
      <c r="U330" s="119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</row>
    <row r="331" spans="1:31" s="46" customFormat="1">
      <c r="A331" s="106">
        <v>5205286</v>
      </c>
      <c r="B331" s="107">
        <v>100</v>
      </c>
      <c r="C331" s="108"/>
      <c r="D331" s="106">
        <v>5205286</v>
      </c>
      <c r="E331" s="107">
        <v>100</v>
      </c>
      <c r="F331" s="108"/>
      <c r="G331" s="133">
        <v>5205321</v>
      </c>
      <c r="H331" s="134">
        <v>100</v>
      </c>
      <c r="I331" s="148"/>
      <c r="J331" s="133">
        <v>5205321</v>
      </c>
      <c r="K331" s="134">
        <v>100</v>
      </c>
      <c r="L331" s="148"/>
      <c r="M331" s="106">
        <v>5305290</v>
      </c>
      <c r="N331" s="107">
        <v>220</v>
      </c>
      <c r="O331" s="108"/>
      <c r="P331" s="119"/>
      <c r="Q331" s="119"/>
      <c r="R331" s="119"/>
      <c r="S331" s="119"/>
      <c r="T331" s="119"/>
      <c r="U331" s="119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</row>
    <row r="332" spans="1:31" s="46" customFormat="1">
      <c r="A332" s="145">
        <v>5205239</v>
      </c>
      <c r="B332" s="146">
        <v>120</v>
      </c>
      <c r="C332" s="147"/>
      <c r="D332" s="145">
        <v>5205239</v>
      </c>
      <c r="E332" s="146">
        <v>120</v>
      </c>
      <c r="F332" s="147"/>
      <c r="G332" s="100">
        <v>5205212</v>
      </c>
      <c r="H332" s="101">
        <v>135</v>
      </c>
      <c r="I332" s="102"/>
      <c r="J332" s="100">
        <v>5205212</v>
      </c>
      <c r="K332" s="101">
        <v>135</v>
      </c>
      <c r="L332" s="102"/>
      <c r="M332" s="145">
        <v>5205204</v>
      </c>
      <c r="N332" s="146">
        <v>110</v>
      </c>
      <c r="O332" s="147"/>
      <c r="P332" s="119"/>
      <c r="Q332" s="119"/>
      <c r="R332" s="119"/>
      <c r="S332" s="119"/>
      <c r="T332" s="119"/>
      <c r="U332" s="119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</row>
    <row r="333" spans="1:31" s="46" customFormat="1">
      <c r="A333" s="106">
        <v>5205208</v>
      </c>
      <c r="B333" s="107">
        <v>110</v>
      </c>
      <c r="C333" s="108"/>
      <c r="D333" s="106">
        <v>5205208</v>
      </c>
      <c r="E333" s="107">
        <v>110</v>
      </c>
      <c r="F333" s="108"/>
      <c r="G333" s="133">
        <v>5305281</v>
      </c>
      <c r="H333" s="134">
        <v>108</v>
      </c>
      <c r="I333" s="148"/>
      <c r="J333" s="106">
        <v>5205208</v>
      </c>
      <c r="K333" s="107">
        <v>110</v>
      </c>
      <c r="L333" s="108"/>
      <c r="M333" s="106">
        <v>5205208</v>
      </c>
      <c r="N333" s="107">
        <v>110</v>
      </c>
      <c r="O333" s="108"/>
      <c r="P333" s="119"/>
      <c r="Q333" s="119"/>
      <c r="R333" s="119"/>
      <c r="S333" s="119"/>
      <c r="T333" s="119"/>
      <c r="U333" s="119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</row>
    <row r="334" spans="1:31" s="46" customFormat="1">
      <c r="A334" s="145">
        <v>5305419</v>
      </c>
      <c r="B334" s="146">
        <v>140</v>
      </c>
      <c r="C334" s="147"/>
      <c r="D334" s="100">
        <v>5205356</v>
      </c>
      <c r="E334" s="101">
        <v>130</v>
      </c>
      <c r="F334" s="102"/>
      <c r="G334" s="100">
        <v>5205356</v>
      </c>
      <c r="H334" s="101">
        <v>130</v>
      </c>
      <c r="I334" s="102"/>
      <c r="J334" s="145">
        <v>5205217</v>
      </c>
      <c r="K334" s="146">
        <v>140</v>
      </c>
      <c r="L334" s="147"/>
      <c r="M334" s="145">
        <v>5205217</v>
      </c>
      <c r="N334" s="146">
        <v>140</v>
      </c>
      <c r="O334" s="147"/>
      <c r="P334" s="119"/>
      <c r="Q334" s="119"/>
      <c r="R334" s="119"/>
      <c r="S334" s="119"/>
      <c r="T334" s="119"/>
      <c r="U334" s="119"/>
      <c r="V334" s="60"/>
      <c r="W334" s="60"/>
      <c r="X334" s="60"/>
      <c r="Y334" s="60"/>
      <c r="Z334" s="60"/>
      <c r="AA334" s="60"/>
      <c r="AB334" s="60"/>
      <c r="AC334" s="60"/>
      <c r="AD334" s="60"/>
      <c r="AE334" s="60"/>
    </row>
    <row r="335" spans="1:31" s="46" customFormat="1">
      <c r="A335" s="106">
        <v>5205358</v>
      </c>
      <c r="B335" s="107">
        <v>120</v>
      </c>
      <c r="C335" s="108"/>
      <c r="D335" s="106">
        <v>5205358</v>
      </c>
      <c r="E335" s="107">
        <v>120</v>
      </c>
      <c r="F335" s="108"/>
      <c r="G335" s="133">
        <v>5205674</v>
      </c>
      <c r="H335" s="134">
        <v>160</v>
      </c>
      <c r="I335" s="148"/>
      <c r="J335" s="133">
        <v>5205674</v>
      </c>
      <c r="K335" s="134">
        <v>160</v>
      </c>
      <c r="L335" s="148"/>
      <c r="M335" s="106">
        <v>5305343</v>
      </c>
      <c r="N335" s="107">
        <v>100</v>
      </c>
      <c r="O335" s="108"/>
      <c r="P335" s="119"/>
      <c r="Q335" s="119"/>
      <c r="R335" s="119"/>
      <c r="S335" s="119"/>
      <c r="T335" s="119"/>
      <c r="U335" s="119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</row>
    <row r="336" spans="1:31" s="46" customFormat="1">
      <c r="A336" s="145">
        <v>5205268</v>
      </c>
      <c r="B336" s="146">
        <v>100</v>
      </c>
      <c r="C336" s="147"/>
      <c r="D336" s="145">
        <v>5205268</v>
      </c>
      <c r="E336" s="146">
        <v>100</v>
      </c>
      <c r="F336" s="147"/>
      <c r="G336" s="100">
        <v>5205339</v>
      </c>
      <c r="H336" s="101">
        <v>75</v>
      </c>
      <c r="I336" s="102"/>
      <c r="J336" s="100">
        <v>5205339</v>
      </c>
      <c r="K336" s="101">
        <v>75</v>
      </c>
      <c r="L336" s="102"/>
      <c r="M336" s="145">
        <v>5305211</v>
      </c>
      <c r="N336" s="146">
        <v>100</v>
      </c>
      <c r="O336" s="147"/>
      <c r="P336" s="119"/>
      <c r="Q336" s="119"/>
      <c r="R336" s="119"/>
      <c r="S336" s="119"/>
      <c r="T336" s="119"/>
      <c r="U336" s="119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</row>
    <row r="337" spans="1:31" s="46" customFormat="1">
      <c r="A337" s="106">
        <v>5205675</v>
      </c>
      <c r="B337" s="107">
        <v>120</v>
      </c>
      <c r="C337" s="108"/>
      <c r="D337" s="106">
        <v>5205675</v>
      </c>
      <c r="E337" s="107">
        <v>120</v>
      </c>
      <c r="F337" s="108"/>
      <c r="G337" s="133">
        <v>5205286</v>
      </c>
      <c r="H337" s="134">
        <v>100</v>
      </c>
      <c r="I337" s="148"/>
      <c r="J337" s="133">
        <v>5205286</v>
      </c>
      <c r="K337" s="134">
        <v>100</v>
      </c>
      <c r="L337" s="148"/>
      <c r="M337" s="106">
        <v>5305301</v>
      </c>
      <c r="N337" s="107">
        <v>100</v>
      </c>
      <c r="O337" s="108"/>
      <c r="P337" s="119"/>
      <c r="Q337" s="119"/>
      <c r="R337" s="119"/>
      <c r="S337" s="119"/>
      <c r="T337" s="119"/>
      <c r="U337" s="119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</row>
    <row r="338" spans="1:31" s="46" customFormat="1">
      <c r="A338" s="145">
        <v>5205321</v>
      </c>
      <c r="B338" s="146">
        <v>100</v>
      </c>
      <c r="C338" s="147"/>
      <c r="D338" s="145">
        <v>5205321</v>
      </c>
      <c r="E338" s="146">
        <v>100</v>
      </c>
      <c r="F338" s="147"/>
      <c r="G338" s="100">
        <v>5205208</v>
      </c>
      <c r="H338" s="101">
        <v>110</v>
      </c>
      <c r="I338" s="102"/>
      <c r="J338" s="100">
        <v>5205208</v>
      </c>
      <c r="K338" s="101">
        <v>110</v>
      </c>
      <c r="L338" s="102"/>
      <c r="M338" s="145">
        <v>5305343</v>
      </c>
      <c r="N338" s="146">
        <v>100</v>
      </c>
      <c r="O338" s="147"/>
      <c r="P338" s="119"/>
      <c r="Q338" s="119"/>
      <c r="R338" s="119"/>
      <c r="S338" s="119"/>
      <c r="T338" s="119"/>
      <c r="U338" s="119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</row>
    <row r="339" spans="1:31" s="46" customFormat="1">
      <c r="A339" s="106">
        <v>5205268</v>
      </c>
      <c r="B339" s="107">
        <v>100</v>
      </c>
      <c r="C339" s="108"/>
      <c r="D339" s="106">
        <v>5205268</v>
      </c>
      <c r="E339" s="107">
        <v>100</v>
      </c>
      <c r="F339" s="108"/>
      <c r="G339" s="133">
        <v>5205674</v>
      </c>
      <c r="H339" s="134">
        <v>160</v>
      </c>
      <c r="I339" s="148"/>
      <c r="J339" s="133">
        <v>5205674</v>
      </c>
      <c r="K339" s="134">
        <v>160</v>
      </c>
      <c r="L339" s="148"/>
      <c r="M339" s="106">
        <v>5305290</v>
      </c>
      <c r="N339" s="107">
        <v>220</v>
      </c>
      <c r="O339" s="108"/>
      <c r="P339" s="119"/>
      <c r="Q339" s="119"/>
      <c r="R339" s="119"/>
      <c r="S339" s="119"/>
      <c r="T339" s="119"/>
      <c r="U339" s="119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</row>
    <row r="340" spans="1:31" s="46" customFormat="1">
      <c r="A340" s="145">
        <v>5305417</v>
      </c>
      <c r="B340" s="146">
        <v>120</v>
      </c>
      <c r="C340" s="147"/>
      <c r="D340" s="100">
        <v>5205239</v>
      </c>
      <c r="E340" s="101">
        <v>120</v>
      </c>
      <c r="F340" s="102"/>
      <c r="G340" s="100">
        <v>5205239</v>
      </c>
      <c r="H340" s="101">
        <v>120</v>
      </c>
      <c r="I340" s="102"/>
      <c r="J340" s="145">
        <v>5205366</v>
      </c>
      <c r="K340" s="146">
        <v>100</v>
      </c>
      <c r="L340" s="147"/>
      <c r="M340" s="145">
        <v>5205366</v>
      </c>
      <c r="N340" s="146">
        <v>100</v>
      </c>
      <c r="O340" s="147"/>
      <c r="P340" s="119"/>
      <c r="Q340" s="119"/>
      <c r="R340" s="119"/>
      <c r="S340" s="119"/>
      <c r="T340" s="119"/>
      <c r="U340" s="119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</row>
    <row r="341" spans="1:31" s="46" customFormat="1">
      <c r="A341" s="106">
        <v>5205358</v>
      </c>
      <c r="B341" s="107">
        <v>120</v>
      </c>
      <c r="C341" s="108"/>
      <c r="D341" s="106">
        <v>5205358</v>
      </c>
      <c r="E341" s="107">
        <v>120</v>
      </c>
      <c r="F341" s="108"/>
      <c r="G341" s="133">
        <v>5205675</v>
      </c>
      <c r="H341" s="134">
        <v>120</v>
      </c>
      <c r="I341" s="148"/>
      <c r="J341" s="133">
        <v>5205675</v>
      </c>
      <c r="K341" s="134">
        <v>120</v>
      </c>
      <c r="L341" s="148"/>
      <c r="M341" s="106">
        <v>5305301</v>
      </c>
      <c r="N341" s="107">
        <v>100</v>
      </c>
      <c r="O341" s="108"/>
      <c r="P341" s="119"/>
      <c r="Q341" s="119"/>
      <c r="R341" s="119"/>
      <c r="S341" s="119"/>
      <c r="T341" s="119"/>
      <c r="U341" s="119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</row>
    <row r="342" spans="1:31" s="46" customFormat="1">
      <c r="A342" s="145">
        <v>5205286</v>
      </c>
      <c r="B342" s="146">
        <v>100</v>
      </c>
      <c r="C342" s="147"/>
      <c r="D342" s="145">
        <v>5205286</v>
      </c>
      <c r="E342" s="146">
        <v>100</v>
      </c>
      <c r="F342" s="147"/>
      <c r="G342" s="100">
        <v>5205321</v>
      </c>
      <c r="H342" s="101">
        <v>100</v>
      </c>
      <c r="I342" s="102"/>
      <c r="J342" s="100">
        <v>5205321</v>
      </c>
      <c r="K342" s="101">
        <v>100</v>
      </c>
      <c r="L342" s="102"/>
      <c r="M342" s="145">
        <v>5305419</v>
      </c>
      <c r="N342" s="146">
        <v>140</v>
      </c>
      <c r="O342" s="147"/>
      <c r="P342" s="119"/>
      <c r="Q342" s="119"/>
      <c r="R342" s="119"/>
      <c r="S342" s="119"/>
      <c r="T342" s="119"/>
      <c r="U342" s="119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</row>
    <row r="343" spans="1:31" s="46" customFormat="1">
      <c r="A343" s="106">
        <v>5205356</v>
      </c>
      <c r="B343" s="107">
        <v>130</v>
      </c>
      <c r="C343" s="108"/>
      <c r="D343" s="106">
        <v>5205356</v>
      </c>
      <c r="E343" s="107">
        <v>130</v>
      </c>
      <c r="F343" s="108"/>
      <c r="G343" s="133">
        <v>5205217</v>
      </c>
      <c r="H343" s="134">
        <v>140</v>
      </c>
      <c r="I343" s="148"/>
      <c r="J343" s="133">
        <v>5205217</v>
      </c>
      <c r="K343" s="134">
        <v>140</v>
      </c>
      <c r="L343" s="148"/>
      <c r="M343" s="106">
        <v>5305219</v>
      </c>
      <c r="N343" s="107">
        <v>180</v>
      </c>
      <c r="O343" s="108"/>
      <c r="P343" s="119"/>
      <c r="Q343" s="119"/>
      <c r="R343" s="119"/>
      <c r="S343" s="119"/>
      <c r="T343" s="119"/>
      <c r="U343" s="119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</row>
    <row r="344" spans="1:31" s="46" customFormat="1">
      <c r="A344" s="145">
        <v>5205270</v>
      </c>
      <c r="B344" s="146">
        <v>300</v>
      </c>
      <c r="C344" s="147"/>
      <c r="D344" s="145">
        <v>5205270</v>
      </c>
      <c r="E344" s="146">
        <v>300</v>
      </c>
      <c r="F344" s="147"/>
      <c r="G344" s="100">
        <v>5205237</v>
      </c>
      <c r="H344" s="101">
        <v>132</v>
      </c>
      <c r="I344" s="102"/>
      <c r="J344" s="100">
        <v>5205237</v>
      </c>
      <c r="K344" s="101">
        <v>132</v>
      </c>
      <c r="L344" s="102"/>
      <c r="M344" s="145">
        <v>5305341</v>
      </c>
      <c r="N344" s="146">
        <v>160</v>
      </c>
      <c r="O344" s="147"/>
      <c r="P344" s="119"/>
      <c r="Q344" s="119"/>
      <c r="R344" s="119"/>
      <c r="S344" s="119"/>
      <c r="T344" s="119"/>
      <c r="U344" s="119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</row>
    <row r="345" spans="1:31" s="46" customFormat="1">
      <c r="A345" s="106">
        <v>5205339</v>
      </c>
      <c r="B345" s="107">
        <v>75</v>
      </c>
      <c r="C345" s="108"/>
      <c r="D345" s="106">
        <v>5205339</v>
      </c>
      <c r="E345" s="107">
        <v>75</v>
      </c>
      <c r="F345" s="108"/>
      <c r="G345" s="133">
        <v>5205208</v>
      </c>
      <c r="H345" s="134">
        <v>110</v>
      </c>
      <c r="I345" s="148"/>
      <c r="J345" s="133">
        <v>5205208</v>
      </c>
      <c r="K345" s="134">
        <v>110</v>
      </c>
      <c r="L345" s="148"/>
      <c r="M345" s="114"/>
      <c r="N345" s="115"/>
      <c r="O345" s="116"/>
      <c r="P345" s="119"/>
      <c r="Q345" s="119"/>
      <c r="R345" s="119"/>
      <c r="S345" s="119"/>
      <c r="T345" s="119"/>
      <c r="U345" s="119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</row>
    <row r="346" spans="1:31">
      <c r="O346" s="165"/>
    </row>
    <row r="348" spans="1:31">
      <c r="A348" s="173" t="s">
        <v>167</v>
      </c>
      <c r="B348" s="173"/>
      <c r="C348" s="173"/>
      <c r="D348" s="173"/>
      <c r="E348" s="173"/>
      <c r="F348" s="173"/>
      <c r="G348" s="173"/>
      <c r="H348" s="173"/>
      <c r="I348" s="173"/>
      <c r="J348" s="173"/>
      <c r="K348" s="173"/>
      <c r="L348" s="173"/>
      <c r="M348" s="173"/>
      <c r="N348" s="173"/>
      <c r="O348" s="173"/>
    </row>
    <row r="349" spans="1:31">
      <c r="A349" s="174" t="s">
        <v>180</v>
      </c>
      <c r="B349" s="174"/>
      <c r="C349" s="174"/>
      <c r="D349" s="174"/>
      <c r="E349" s="174"/>
      <c r="F349" s="174"/>
      <c r="G349" s="174"/>
      <c r="H349" s="174"/>
      <c r="I349" s="174"/>
      <c r="J349" s="174"/>
      <c r="K349" s="174"/>
      <c r="L349" s="174"/>
      <c r="M349" s="174"/>
      <c r="N349" s="174"/>
      <c r="O349" s="174"/>
    </row>
    <row r="350" spans="1:31">
      <c r="A350" s="174" t="s">
        <v>170</v>
      </c>
      <c r="B350" s="174"/>
      <c r="C350" s="174"/>
      <c r="D350" s="174"/>
      <c r="E350" s="174"/>
      <c r="F350" s="174"/>
      <c r="G350" s="174"/>
      <c r="H350" s="174"/>
      <c r="I350" s="174"/>
      <c r="J350" s="174" t="s">
        <v>169</v>
      </c>
      <c r="K350" s="174"/>
      <c r="L350" s="174"/>
      <c r="M350" s="174"/>
      <c r="N350" s="174"/>
      <c r="O350" s="174"/>
    </row>
    <row r="351" spans="1:31">
      <c r="A351" s="174" t="s">
        <v>110</v>
      </c>
      <c r="B351" s="174"/>
      <c r="C351" s="174"/>
      <c r="D351" s="174" t="s">
        <v>111</v>
      </c>
      <c r="E351" s="174"/>
      <c r="F351" s="174"/>
      <c r="G351" s="174" t="s">
        <v>112</v>
      </c>
      <c r="H351" s="174"/>
      <c r="I351" s="174"/>
      <c r="J351" s="174" t="s">
        <v>113</v>
      </c>
      <c r="K351" s="174"/>
      <c r="L351" s="174"/>
      <c r="M351" s="174" t="s">
        <v>181</v>
      </c>
      <c r="N351" s="174"/>
      <c r="O351" s="174"/>
    </row>
    <row r="352" spans="1:31" ht="36">
      <c r="A352" s="117" t="s">
        <v>114</v>
      </c>
      <c r="B352" s="118" t="s">
        <v>115</v>
      </c>
      <c r="C352" s="118" t="s">
        <v>172</v>
      </c>
      <c r="D352" s="117" t="s">
        <v>114</v>
      </c>
      <c r="E352" s="118" t="s">
        <v>115</v>
      </c>
      <c r="F352" s="118" t="s">
        <v>172</v>
      </c>
      <c r="G352" s="117" t="s">
        <v>114</v>
      </c>
      <c r="H352" s="118" t="s">
        <v>115</v>
      </c>
      <c r="I352" s="118" t="s">
        <v>172</v>
      </c>
      <c r="J352" s="117" t="s">
        <v>114</v>
      </c>
      <c r="K352" s="118" t="s">
        <v>115</v>
      </c>
      <c r="L352" s="118" t="s">
        <v>172</v>
      </c>
      <c r="M352" s="117" t="s">
        <v>114</v>
      </c>
      <c r="N352" s="118" t="s">
        <v>115</v>
      </c>
      <c r="O352" s="118" t="s">
        <v>172</v>
      </c>
    </row>
    <row r="353" spans="1:41">
      <c r="A353" s="103">
        <v>5205675</v>
      </c>
      <c r="B353" s="104">
        <v>120</v>
      </c>
      <c r="C353" s="105"/>
      <c r="D353" s="103">
        <v>5205675</v>
      </c>
      <c r="E353" s="104">
        <v>120</v>
      </c>
      <c r="F353" s="105"/>
      <c r="G353" s="145">
        <v>5205286</v>
      </c>
      <c r="H353" s="146">
        <v>100</v>
      </c>
      <c r="I353" s="147"/>
      <c r="J353" s="145">
        <v>5205286</v>
      </c>
      <c r="K353" s="146">
        <v>100</v>
      </c>
      <c r="L353" s="147"/>
      <c r="M353" s="103">
        <v>5305301</v>
      </c>
      <c r="N353" s="104">
        <v>100</v>
      </c>
      <c r="O353" s="105"/>
    </row>
    <row r="354" spans="1:41">
      <c r="A354" s="133">
        <v>5205321</v>
      </c>
      <c r="B354" s="134">
        <v>100</v>
      </c>
      <c r="C354" s="148"/>
      <c r="D354" s="133">
        <v>5205321</v>
      </c>
      <c r="E354" s="134">
        <v>100</v>
      </c>
      <c r="F354" s="148"/>
      <c r="G354" s="106">
        <v>5205212</v>
      </c>
      <c r="H354" s="107">
        <v>135</v>
      </c>
      <c r="I354" s="108"/>
      <c r="J354" s="106">
        <v>5205212</v>
      </c>
      <c r="K354" s="107">
        <v>135</v>
      </c>
      <c r="L354" s="108"/>
      <c r="M354" s="133">
        <v>5305218</v>
      </c>
      <c r="N354" s="134">
        <v>160</v>
      </c>
      <c r="O354" s="148"/>
    </row>
    <row r="355" spans="1:41">
      <c r="A355" s="103">
        <v>5205208</v>
      </c>
      <c r="B355" s="104">
        <v>110</v>
      </c>
      <c r="C355" s="105"/>
      <c r="D355" s="103">
        <v>5205208</v>
      </c>
      <c r="E355" s="104">
        <v>110</v>
      </c>
      <c r="F355" s="105"/>
      <c r="G355" s="145">
        <v>5305419</v>
      </c>
      <c r="H355" s="146">
        <v>140</v>
      </c>
      <c r="I355" s="147"/>
      <c r="J355" s="103">
        <v>5205356</v>
      </c>
      <c r="K355" s="104">
        <v>130</v>
      </c>
      <c r="L355" s="105"/>
      <c r="M355" s="103">
        <v>5205356</v>
      </c>
      <c r="N355" s="104">
        <v>130</v>
      </c>
      <c r="O355" s="105"/>
    </row>
    <row r="356" spans="1:41" s="46" customFormat="1">
      <c r="A356" s="133">
        <v>5205217</v>
      </c>
      <c r="B356" s="134">
        <v>140</v>
      </c>
      <c r="C356" s="148"/>
      <c r="D356" s="133">
        <v>5205217</v>
      </c>
      <c r="E356" s="134">
        <v>140</v>
      </c>
      <c r="F356" s="148"/>
      <c r="G356" s="106">
        <v>5205358</v>
      </c>
      <c r="H356" s="107">
        <v>120</v>
      </c>
      <c r="I356" s="108"/>
      <c r="J356" s="106">
        <v>5205358</v>
      </c>
      <c r="K356" s="107">
        <v>120</v>
      </c>
      <c r="L356" s="108"/>
      <c r="M356" s="133">
        <v>5305343</v>
      </c>
      <c r="N356" s="134">
        <v>100</v>
      </c>
      <c r="O356" s="148"/>
      <c r="P356" s="119"/>
      <c r="Q356" s="119"/>
      <c r="R356" s="119"/>
      <c r="S356" s="119"/>
      <c r="T356" s="119"/>
      <c r="U356" s="119"/>
      <c r="V356" s="60"/>
      <c r="W356" s="60"/>
      <c r="X356" s="60"/>
      <c r="Y356" s="60"/>
      <c r="Z356" s="60"/>
      <c r="AA356" s="60"/>
      <c r="AB356" s="60"/>
      <c r="AC356" s="60"/>
      <c r="AD356" s="60"/>
      <c r="AE356" s="60"/>
      <c r="AF356" s="60"/>
      <c r="AG356" s="60"/>
      <c r="AH356" s="60"/>
      <c r="AI356" s="60"/>
      <c r="AJ356" s="60"/>
      <c r="AK356" s="60"/>
      <c r="AL356" s="60"/>
      <c r="AM356" s="60"/>
      <c r="AN356" s="60"/>
      <c r="AO356" s="60"/>
    </row>
    <row r="357" spans="1:41" s="46" customFormat="1">
      <c r="A357" s="103">
        <v>5205674</v>
      </c>
      <c r="B357" s="104">
        <v>160</v>
      </c>
      <c r="C357" s="105"/>
      <c r="D357" s="103">
        <v>5205674</v>
      </c>
      <c r="E357" s="104">
        <v>160</v>
      </c>
      <c r="F357" s="105"/>
      <c r="G357" s="145">
        <v>5205268</v>
      </c>
      <c r="H357" s="146">
        <v>100</v>
      </c>
      <c r="I357" s="147"/>
      <c r="J357" s="145">
        <v>5205268</v>
      </c>
      <c r="K357" s="146">
        <v>100</v>
      </c>
      <c r="L357" s="147"/>
      <c r="M357" s="103">
        <v>5305301</v>
      </c>
      <c r="N357" s="104">
        <v>100</v>
      </c>
      <c r="O357" s="105"/>
      <c r="P357" s="119"/>
      <c r="Q357" s="119"/>
      <c r="R357" s="119"/>
      <c r="S357" s="119"/>
      <c r="T357" s="119"/>
      <c r="U357" s="119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  <c r="AK357" s="60"/>
      <c r="AL357" s="60"/>
      <c r="AM357" s="60"/>
      <c r="AN357" s="60"/>
      <c r="AO357" s="60"/>
    </row>
    <row r="358" spans="1:41" s="46" customFormat="1">
      <c r="A358" s="133">
        <v>5205339</v>
      </c>
      <c r="B358" s="134">
        <v>75</v>
      </c>
      <c r="C358" s="148"/>
      <c r="D358" s="133">
        <v>5205339</v>
      </c>
      <c r="E358" s="134">
        <v>75</v>
      </c>
      <c r="F358" s="148"/>
      <c r="G358" s="106">
        <v>5205239</v>
      </c>
      <c r="H358" s="107">
        <v>120</v>
      </c>
      <c r="I358" s="108"/>
      <c r="J358" s="106">
        <v>5205239</v>
      </c>
      <c r="K358" s="107">
        <v>120</v>
      </c>
      <c r="L358" s="108"/>
      <c r="M358" s="133">
        <v>5305290</v>
      </c>
      <c r="N358" s="134">
        <v>220</v>
      </c>
      <c r="O358" s="148"/>
      <c r="P358" s="119"/>
      <c r="Q358" s="119"/>
      <c r="R358" s="119"/>
      <c r="S358" s="119"/>
      <c r="T358" s="119"/>
      <c r="U358" s="119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  <c r="AK358" s="60"/>
      <c r="AL358" s="60"/>
      <c r="AM358" s="60"/>
      <c r="AN358" s="60"/>
      <c r="AO358" s="60"/>
    </row>
    <row r="359" spans="1:41" s="46" customFormat="1">
      <c r="A359" s="103">
        <v>5205321</v>
      </c>
      <c r="B359" s="104">
        <v>100</v>
      </c>
      <c r="C359" s="105"/>
      <c r="D359" s="103">
        <v>5205321</v>
      </c>
      <c r="E359" s="104">
        <v>100</v>
      </c>
      <c r="F359" s="105"/>
      <c r="G359" s="145">
        <v>5205286</v>
      </c>
      <c r="H359" s="146">
        <v>100</v>
      </c>
      <c r="I359" s="147"/>
      <c r="J359" s="145">
        <v>5205286</v>
      </c>
      <c r="K359" s="146">
        <v>100</v>
      </c>
      <c r="L359" s="147"/>
      <c r="M359" s="103">
        <v>5305419</v>
      </c>
      <c r="N359" s="104">
        <v>140</v>
      </c>
      <c r="O359" s="105"/>
      <c r="P359" s="119"/>
      <c r="Q359" s="119"/>
      <c r="R359" s="119"/>
      <c r="S359" s="119"/>
      <c r="T359" s="119"/>
      <c r="U359" s="119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  <c r="AK359" s="60"/>
      <c r="AL359" s="60"/>
      <c r="AM359" s="60"/>
      <c r="AN359" s="60"/>
      <c r="AO359" s="60"/>
    </row>
    <row r="360" spans="1:41" s="46" customFormat="1">
      <c r="A360" s="133">
        <v>5205675</v>
      </c>
      <c r="B360" s="134">
        <v>120</v>
      </c>
      <c r="C360" s="148"/>
      <c r="D360" s="133">
        <v>5205675</v>
      </c>
      <c r="E360" s="134">
        <v>120</v>
      </c>
      <c r="F360" s="148"/>
      <c r="G360" s="106">
        <v>5205208</v>
      </c>
      <c r="H360" s="107">
        <v>110</v>
      </c>
      <c r="I360" s="108"/>
      <c r="J360" s="106">
        <v>5205208</v>
      </c>
      <c r="K360" s="107">
        <v>110</v>
      </c>
      <c r="L360" s="108"/>
      <c r="M360" s="133">
        <v>5305343</v>
      </c>
      <c r="N360" s="134">
        <v>100</v>
      </c>
      <c r="O360" s="148"/>
      <c r="P360" s="119"/>
      <c r="Q360" s="119"/>
      <c r="R360" s="119"/>
      <c r="S360" s="119"/>
      <c r="T360" s="119"/>
      <c r="U360" s="119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  <c r="AK360" s="60"/>
      <c r="AL360" s="60"/>
      <c r="AM360" s="60"/>
      <c r="AN360" s="60"/>
      <c r="AO360" s="60"/>
    </row>
    <row r="361" spans="1:41" s="46" customFormat="1">
      <c r="A361" s="103">
        <v>5205356</v>
      </c>
      <c r="B361" s="104">
        <v>130</v>
      </c>
      <c r="C361" s="105"/>
      <c r="D361" s="103">
        <v>5205356</v>
      </c>
      <c r="E361" s="104">
        <v>130</v>
      </c>
      <c r="F361" s="105"/>
      <c r="G361" s="145">
        <v>5205217</v>
      </c>
      <c r="H361" s="146">
        <v>140</v>
      </c>
      <c r="I361" s="147"/>
      <c r="J361" s="145">
        <v>5205217</v>
      </c>
      <c r="K361" s="146">
        <v>140</v>
      </c>
      <c r="L361" s="147"/>
      <c r="M361" s="103">
        <v>5305301</v>
      </c>
      <c r="N361" s="104">
        <v>100</v>
      </c>
      <c r="O361" s="105"/>
      <c r="P361" s="119"/>
      <c r="Q361" s="119"/>
      <c r="R361" s="119"/>
      <c r="S361" s="119"/>
      <c r="T361" s="119"/>
      <c r="U361" s="119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0"/>
      <c r="AH361" s="60"/>
      <c r="AI361" s="60"/>
      <c r="AJ361" s="60"/>
      <c r="AK361" s="60"/>
      <c r="AL361" s="60"/>
      <c r="AM361" s="60"/>
      <c r="AN361" s="60"/>
      <c r="AO361" s="60"/>
    </row>
    <row r="362" spans="1:41" s="46" customFormat="1">
      <c r="A362" s="133">
        <v>5205358</v>
      </c>
      <c r="B362" s="134">
        <v>120</v>
      </c>
      <c r="C362" s="148"/>
      <c r="D362" s="133">
        <v>5205358</v>
      </c>
      <c r="E362" s="134">
        <v>120</v>
      </c>
      <c r="F362" s="148"/>
      <c r="G362" s="106">
        <v>5205674</v>
      </c>
      <c r="H362" s="107">
        <v>160</v>
      </c>
      <c r="I362" s="108"/>
      <c r="J362" s="106">
        <v>5205674</v>
      </c>
      <c r="K362" s="107">
        <v>160</v>
      </c>
      <c r="L362" s="108"/>
      <c r="M362" s="133">
        <v>5305417</v>
      </c>
      <c r="N362" s="134">
        <v>120</v>
      </c>
      <c r="O362" s="148"/>
      <c r="P362" s="119"/>
      <c r="Q362" s="119"/>
      <c r="R362" s="119"/>
      <c r="S362" s="119"/>
      <c r="T362" s="119"/>
      <c r="U362" s="119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  <c r="AK362" s="60"/>
      <c r="AL362" s="60"/>
      <c r="AM362" s="60"/>
      <c r="AN362" s="60"/>
      <c r="AO362" s="60"/>
    </row>
    <row r="363" spans="1:41" s="46" customFormat="1">
      <c r="A363" s="103">
        <v>5205366</v>
      </c>
      <c r="B363" s="104">
        <v>100</v>
      </c>
      <c r="C363" s="105"/>
      <c r="D363" s="103">
        <v>5205366</v>
      </c>
      <c r="E363" s="104">
        <v>100</v>
      </c>
      <c r="F363" s="105"/>
      <c r="G363" s="145">
        <v>5205270</v>
      </c>
      <c r="H363" s="146">
        <v>300</v>
      </c>
      <c r="I363" s="147"/>
      <c r="J363" s="145">
        <v>5205270</v>
      </c>
      <c r="K363" s="146">
        <v>300</v>
      </c>
      <c r="L363" s="147"/>
      <c r="M363" s="103">
        <v>5205296</v>
      </c>
      <c r="N363" s="104">
        <v>400</v>
      </c>
      <c r="O363" s="105"/>
      <c r="P363" s="119"/>
      <c r="Q363" s="119"/>
      <c r="R363" s="119"/>
      <c r="S363" s="119"/>
      <c r="T363" s="119"/>
      <c r="U363" s="119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  <c r="AK363" s="60"/>
      <c r="AL363" s="60"/>
      <c r="AM363" s="60"/>
      <c r="AN363" s="60"/>
      <c r="AO363" s="60"/>
    </row>
    <row r="364" spans="1:41" s="46" customFormat="1">
      <c r="A364" s="133">
        <v>5205268</v>
      </c>
      <c r="B364" s="134">
        <v>100</v>
      </c>
      <c r="C364" s="148"/>
      <c r="D364" s="133">
        <v>5205268</v>
      </c>
      <c r="E364" s="134">
        <v>100</v>
      </c>
      <c r="F364" s="148"/>
      <c r="G364" s="106">
        <v>5205321</v>
      </c>
      <c r="H364" s="107">
        <v>100</v>
      </c>
      <c r="I364" s="108"/>
      <c r="J364" s="106">
        <v>5205321</v>
      </c>
      <c r="K364" s="107">
        <v>100</v>
      </c>
      <c r="L364" s="108"/>
      <c r="M364" s="122">
        <v>5205208</v>
      </c>
      <c r="N364" s="123">
        <v>110</v>
      </c>
      <c r="O364" s="166"/>
      <c r="P364" s="119"/>
      <c r="Q364" s="119"/>
      <c r="R364" s="119"/>
      <c r="S364" s="119"/>
      <c r="T364" s="119"/>
      <c r="U364" s="119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  <c r="AK364" s="60"/>
      <c r="AL364" s="60"/>
      <c r="AM364" s="60"/>
      <c r="AN364" s="60"/>
      <c r="AO364" s="60"/>
    </row>
    <row r="365" spans="1:41" s="46" customFormat="1">
      <c r="A365" s="103">
        <v>5205286</v>
      </c>
      <c r="B365" s="104">
        <v>100</v>
      </c>
      <c r="C365" s="105"/>
      <c r="D365" s="103">
        <v>5205286</v>
      </c>
      <c r="E365" s="104">
        <v>100</v>
      </c>
      <c r="F365" s="105"/>
      <c r="G365" s="145">
        <v>5205675</v>
      </c>
      <c r="H365" s="146">
        <v>120</v>
      </c>
      <c r="I365" s="147"/>
      <c r="J365" s="145">
        <v>5205675</v>
      </c>
      <c r="K365" s="146">
        <v>120</v>
      </c>
      <c r="L365" s="147"/>
      <c r="M365" s="133">
        <v>5205208</v>
      </c>
      <c r="N365" s="134">
        <v>110</v>
      </c>
      <c r="O365" s="167"/>
      <c r="P365" s="119"/>
      <c r="Q365" s="119"/>
      <c r="R365" s="119"/>
      <c r="S365" s="119"/>
      <c r="T365" s="119"/>
      <c r="U365" s="119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  <c r="AK365" s="60"/>
      <c r="AL365" s="60"/>
      <c r="AM365" s="60"/>
      <c r="AN365" s="60"/>
      <c r="AO365" s="60"/>
    </row>
    <row r="366" spans="1:41" s="46" customFormat="1">
      <c r="A366" s="133">
        <v>5305235</v>
      </c>
      <c r="B366" s="134">
        <v>132</v>
      </c>
      <c r="C366" s="167"/>
      <c r="D366" s="122">
        <v>5205224</v>
      </c>
      <c r="E366" s="123">
        <v>136</v>
      </c>
      <c r="F366" s="151"/>
      <c r="G366" s="122">
        <v>5205224</v>
      </c>
      <c r="H366" s="123">
        <v>136</v>
      </c>
      <c r="I366" s="151"/>
      <c r="J366" s="106">
        <v>5205220</v>
      </c>
      <c r="K366" s="107">
        <v>130</v>
      </c>
      <c r="L366" s="108"/>
      <c r="M366" s="106">
        <v>5205220</v>
      </c>
      <c r="N366" s="107">
        <v>130</v>
      </c>
      <c r="O366" s="108"/>
      <c r="P366" s="119"/>
      <c r="Q366" s="119"/>
      <c r="R366" s="119"/>
      <c r="S366" s="119"/>
      <c r="T366" s="119"/>
      <c r="U366" s="119"/>
      <c r="V366" s="60"/>
      <c r="W366" s="60"/>
      <c r="X366" s="60"/>
      <c r="Y366" s="60"/>
      <c r="Z366" s="60"/>
      <c r="AA366" s="60"/>
      <c r="AB366" s="60"/>
      <c r="AC366" s="60"/>
      <c r="AD366" s="60"/>
      <c r="AE366" s="60"/>
      <c r="AF366" s="60"/>
      <c r="AG366" s="60"/>
      <c r="AH366" s="60"/>
      <c r="AI366" s="60"/>
      <c r="AJ366" s="60"/>
      <c r="AK366" s="60"/>
      <c r="AL366" s="60"/>
      <c r="AM366" s="60"/>
      <c r="AN366" s="60"/>
      <c r="AO366" s="60"/>
    </row>
  </sheetData>
  <mergeCells count="120">
    <mergeCell ref="A22:F22"/>
    <mergeCell ref="A23:F23"/>
    <mergeCell ref="A24:C24"/>
    <mergeCell ref="D24:F24"/>
    <mergeCell ref="A25:C25"/>
    <mergeCell ref="D25:F25"/>
    <mergeCell ref="A1:F1"/>
    <mergeCell ref="A2:F2"/>
    <mergeCell ref="A3:C3"/>
    <mergeCell ref="D3:F3"/>
    <mergeCell ref="A4:C4"/>
    <mergeCell ref="D4:F4"/>
    <mergeCell ref="A81:L81"/>
    <mergeCell ref="A82:L82"/>
    <mergeCell ref="A83:F83"/>
    <mergeCell ref="G83:L83"/>
    <mergeCell ref="A84:C84"/>
    <mergeCell ref="D84:F84"/>
    <mergeCell ref="G84:I84"/>
    <mergeCell ref="J84:L84"/>
    <mergeCell ref="A54:F54"/>
    <mergeCell ref="A55:F55"/>
    <mergeCell ref="A56:C56"/>
    <mergeCell ref="D56:F56"/>
    <mergeCell ref="A57:C57"/>
    <mergeCell ref="D57:F57"/>
    <mergeCell ref="A122:L122"/>
    <mergeCell ref="A123:L123"/>
    <mergeCell ref="A124:F124"/>
    <mergeCell ref="G124:L124"/>
    <mergeCell ref="A125:C125"/>
    <mergeCell ref="D125:F125"/>
    <mergeCell ref="G125:I125"/>
    <mergeCell ref="J125:L125"/>
    <mergeCell ref="A100:L100"/>
    <mergeCell ref="A101:L101"/>
    <mergeCell ref="A102:F102"/>
    <mergeCell ref="G102:L102"/>
    <mergeCell ref="A103:C103"/>
    <mergeCell ref="D103:F103"/>
    <mergeCell ref="G103:I103"/>
    <mergeCell ref="J103:L103"/>
    <mergeCell ref="A167:L167"/>
    <mergeCell ref="A168:L168"/>
    <mergeCell ref="A169:F169"/>
    <mergeCell ref="G169:L169"/>
    <mergeCell ref="A170:C170"/>
    <mergeCell ref="D170:F170"/>
    <mergeCell ref="G170:I170"/>
    <mergeCell ref="J170:L170"/>
    <mergeCell ref="A142:L142"/>
    <mergeCell ref="A143:L143"/>
    <mergeCell ref="A144:F144"/>
    <mergeCell ref="G144:L144"/>
    <mergeCell ref="A145:C145"/>
    <mergeCell ref="D145:F145"/>
    <mergeCell ref="G145:I145"/>
    <mergeCell ref="J145:L145"/>
    <mergeCell ref="A219:L219"/>
    <mergeCell ref="A220:L220"/>
    <mergeCell ref="A221:F221"/>
    <mergeCell ref="G221:L221"/>
    <mergeCell ref="A222:C222"/>
    <mergeCell ref="D222:F222"/>
    <mergeCell ref="G222:I222"/>
    <mergeCell ref="J222:L222"/>
    <mergeCell ref="A194:L194"/>
    <mergeCell ref="A195:L195"/>
    <mergeCell ref="A196:F196"/>
    <mergeCell ref="G196:L196"/>
    <mergeCell ref="A197:C197"/>
    <mergeCell ref="D197:F197"/>
    <mergeCell ref="G197:I197"/>
    <mergeCell ref="J197:L197"/>
    <mergeCell ref="A270:L270"/>
    <mergeCell ref="A271:L271"/>
    <mergeCell ref="A272:F272"/>
    <mergeCell ref="G272:L272"/>
    <mergeCell ref="A273:C273"/>
    <mergeCell ref="D273:F273"/>
    <mergeCell ref="G273:I273"/>
    <mergeCell ref="J273:L273"/>
    <mergeCell ref="A243:L243"/>
    <mergeCell ref="A244:L244"/>
    <mergeCell ref="A245:F245"/>
    <mergeCell ref="G245:L245"/>
    <mergeCell ref="A246:C246"/>
    <mergeCell ref="D246:F246"/>
    <mergeCell ref="G246:I246"/>
    <mergeCell ref="J246:L246"/>
    <mergeCell ref="A293:O293"/>
    <mergeCell ref="A294:O294"/>
    <mergeCell ref="A295:F295"/>
    <mergeCell ref="G295:I295"/>
    <mergeCell ref="J295:O295"/>
    <mergeCell ref="A296:C296"/>
    <mergeCell ref="D296:F296"/>
    <mergeCell ref="G296:I296"/>
    <mergeCell ref="J296:L296"/>
    <mergeCell ref="M296:O296"/>
    <mergeCell ref="A319:O319"/>
    <mergeCell ref="A320:O320"/>
    <mergeCell ref="A321:F321"/>
    <mergeCell ref="G321:I321"/>
    <mergeCell ref="J321:O321"/>
    <mergeCell ref="A322:C322"/>
    <mergeCell ref="D322:F322"/>
    <mergeCell ref="G322:I322"/>
    <mergeCell ref="J322:L322"/>
    <mergeCell ref="M322:O322"/>
    <mergeCell ref="A348:O348"/>
    <mergeCell ref="A349:O349"/>
    <mergeCell ref="A350:F350"/>
    <mergeCell ref="G350:I350"/>
    <mergeCell ref="J350:O350"/>
    <mergeCell ref="A351:C351"/>
    <mergeCell ref="D351:F351"/>
    <mergeCell ref="G351:I351"/>
    <mergeCell ref="J351:L351"/>
    <mergeCell ref="M351:O351"/>
  </mergeCells>
  <printOptions horizontalCentered="1" verticalCentered="1"/>
  <pageMargins left="0" right="0" top="0.35433070866141736" bottom="0.39370078740157483" header="0.31496062992125984" footer="0.31496062992125984"/>
  <pageSetup scale="7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B373"/>
  <sheetViews>
    <sheetView topLeftCell="A262" workbookViewId="0">
      <selection activeCell="C300" sqref="C300"/>
    </sheetView>
  </sheetViews>
  <sheetFormatPr baseColWidth="10" defaultRowHeight="15"/>
  <cols>
    <col min="1" max="1" width="11.42578125" style="93"/>
    <col min="2" max="2" width="24.5703125" style="95" bestFit="1" customWidth="1"/>
  </cols>
  <sheetData>
    <row r="1" spans="1:2" ht="15" customHeight="1">
      <c r="A1" s="92" t="s">
        <v>32</v>
      </c>
      <c r="B1" s="92" t="s">
        <v>33</v>
      </c>
    </row>
    <row r="2" spans="1:2" ht="15" customHeight="1">
      <c r="A2" s="25">
        <v>3374066</v>
      </c>
      <c r="B2" s="91">
        <v>1</v>
      </c>
    </row>
    <row r="3" spans="1:2">
      <c r="A3" s="24">
        <v>3374110</v>
      </c>
      <c r="B3" s="91">
        <v>2</v>
      </c>
    </row>
    <row r="4" spans="1:2" ht="15" customHeight="1">
      <c r="A4" s="24">
        <v>3374099</v>
      </c>
      <c r="B4" s="91">
        <v>0</v>
      </c>
    </row>
    <row r="5" spans="1:2" ht="15" customHeight="1">
      <c r="A5" s="24">
        <v>3168633</v>
      </c>
      <c r="B5" s="91">
        <v>0</v>
      </c>
    </row>
    <row r="6" spans="1:2" ht="15" customHeight="1">
      <c r="A6" s="24">
        <v>3168654</v>
      </c>
      <c r="B6" s="91">
        <v>2</v>
      </c>
    </row>
    <row r="7" spans="1:2" ht="15" customHeight="1">
      <c r="A7" s="24">
        <v>3168804</v>
      </c>
      <c r="B7" s="91">
        <v>0</v>
      </c>
    </row>
    <row r="8" spans="1:2" ht="15" customHeight="1">
      <c r="A8" s="24">
        <v>3168797</v>
      </c>
      <c r="B8" s="91">
        <v>0</v>
      </c>
    </row>
    <row r="9" spans="1:2" ht="15" customHeight="1">
      <c r="A9" s="24">
        <v>3374088</v>
      </c>
      <c r="B9" s="91">
        <v>2</v>
      </c>
    </row>
    <row r="10" spans="1:2" ht="15" customHeight="1">
      <c r="A10" s="24">
        <v>3373461</v>
      </c>
      <c r="B10" s="91">
        <v>2</v>
      </c>
    </row>
    <row r="11" spans="1:2" ht="15" customHeight="1">
      <c r="A11" s="24">
        <v>3373472</v>
      </c>
      <c r="B11" s="91">
        <v>0</v>
      </c>
    </row>
    <row r="12" spans="1:2" ht="15" customHeight="1">
      <c r="A12" s="24">
        <v>3168634</v>
      </c>
      <c r="B12" s="91">
        <v>3</v>
      </c>
    </row>
    <row r="13" spans="1:2" ht="15" customHeight="1">
      <c r="A13" s="24">
        <v>3168468</v>
      </c>
      <c r="B13" s="91">
        <v>0</v>
      </c>
    </row>
    <row r="14" spans="1:2" ht="15" customHeight="1">
      <c r="A14" s="24">
        <v>3168469</v>
      </c>
      <c r="B14" s="91">
        <v>0</v>
      </c>
    </row>
    <row r="15" spans="1:2" ht="15" customHeight="1">
      <c r="A15" s="24">
        <v>3168470</v>
      </c>
      <c r="B15" s="91">
        <v>2</v>
      </c>
    </row>
    <row r="16" spans="1:2" ht="15" customHeight="1">
      <c r="A16" s="24">
        <v>3375298</v>
      </c>
      <c r="B16" s="91">
        <v>1</v>
      </c>
    </row>
    <row r="17" spans="1:2" ht="15" customHeight="1">
      <c r="A17" s="24">
        <v>3168755</v>
      </c>
      <c r="B17" s="91">
        <v>0</v>
      </c>
    </row>
    <row r="18" spans="1:2" ht="15" customHeight="1">
      <c r="A18" s="24">
        <v>3168756</v>
      </c>
      <c r="B18" s="91">
        <v>0</v>
      </c>
    </row>
    <row r="19" spans="1:2" ht="15" customHeight="1">
      <c r="A19" s="24">
        <v>3168757</v>
      </c>
      <c r="B19" s="91">
        <v>2</v>
      </c>
    </row>
    <row r="20" spans="1:2" ht="15" customHeight="1">
      <c r="A20" s="24">
        <v>3373362</v>
      </c>
      <c r="B20" s="91">
        <v>1</v>
      </c>
    </row>
    <row r="21" spans="1:2" ht="15" customHeight="1">
      <c r="A21" s="24">
        <v>3373351</v>
      </c>
      <c r="B21" s="91">
        <v>1</v>
      </c>
    </row>
    <row r="22" spans="1:2" ht="15" customHeight="1">
      <c r="A22" s="24">
        <v>3168490</v>
      </c>
      <c r="B22" s="91">
        <v>0</v>
      </c>
    </row>
    <row r="23" spans="1:2" ht="15" customHeight="1">
      <c r="A23" s="24">
        <v>3168874</v>
      </c>
      <c r="B23" s="91">
        <v>0</v>
      </c>
    </row>
    <row r="24" spans="1:2" ht="15" customHeight="1">
      <c r="A24" s="24">
        <v>3168489</v>
      </c>
      <c r="B24" s="91">
        <v>1</v>
      </c>
    </row>
    <row r="25" spans="1:2" ht="15" customHeight="1">
      <c r="A25" s="24">
        <v>3168885</v>
      </c>
      <c r="B25" s="91">
        <v>1</v>
      </c>
    </row>
    <row r="26" spans="1:2" ht="15" customHeight="1">
      <c r="A26" s="24">
        <v>3168886</v>
      </c>
      <c r="B26" s="91">
        <v>0</v>
      </c>
    </row>
    <row r="27" spans="1:2" ht="15" customHeight="1">
      <c r="A27" s="24">
        <v>3168887</v>
      </c>
      <c r="B27" s="91">
        <v>2</v>
      </c>
    </row>
    <row r="28" spans="1:2" ht="15" customHeight="1">
      <c r="A28" s="24">
        <v>3378708</v>
      </c>
      <c r="B28" s="91">
        <v>1</v>
      </c>
    </row>
    <row r="29" spans="1:2" ht="15" customHeight="1">
      <c r="A29" s="24">
        <v>3168888</v>
      </c>
      <c r="B29" s="91">
        <v>1</v>
      </c>
    </row>
    <row r="30" spans="1:2" ht="15" customHeight="1">
      <c r="A30" s="24">
        <v>5202067</v>
      </c>
      <c r="B30" s="91">
        <v>2</v>
      </c>
    </row>
    <row r="31" spans="1:2" ht="15" customHeight="1">
      <c r="A31" s="24">
        <v>3373450</v>
      </c>
      <c r="B31" s="91">
        <v>3</v>
      </c>
    </row>
    <row r="32" spans="1:2" ht="15" customHeight="1">
      <c r="A32" s="24">
        <v>5202135</v>
      </c>
      <c r="B32" s="91">
        <v>2</v>
      </c>
    </row>
    <row r="33" spans="1:2" ht="15" customHeight="1">
      <c r="A33" s="24">
        <v>5202137</v>
      </c>
      <c r="B33" s="91">
        <v>2</v>
      </c>
    </row>
    <row r="34" spans="1:2" ht="15" customHeight="1">
      <c r="A34" s="24">
        <v>5202139</v>
      </c>
      <c r="B34" s="91">
        <v>2</v>
      </c>
    </row>
    <row r="35" spans="1:2" ht="15" customHeight="1">
      <c r="A35" s="24">
        <v>5202140</v>
      </c>
      <c r="B35" s="91">
        <v>2</v>
      </c>
    </row>
    <row r="36" spans="1:2" ht="15" customHeight="1">
      <c r="A36" s="24">
        <v>5202141</v>
      </c>
      <c r="B36" s="91">
        <v>2</v>
      </c>
    </row>
    <row r="37" spans="1:2" ht="15" customHeight="1">
      <c r="A37" s="24">
        <v>5302142</v>
      </c>
      <c r="B37" s="91">
        <v>1</v>
      </c>
    </row>
    <row r="38" spans="1:2" ht="15" customHeight="1">
      <c r="A38" s="24">
        <v>5302143</v>
      </c>
      <c r="B38" s="91">
        <v>0</v>
      </c>
    </row>
    <row r="39" spans="1:2" ht="15" customHeight="1">
      <c r="A39" s="24">
        <v>5302144</v>
      </c>
      <c r="B39" s="91">
        <v>2</v>
      </c>
    </row>
    <row r="40" spans="1:2" ht="15" customHeight="1">
      <c r="A40" s="24">
        <v>5202146</v>
      </c>
      <c r="B40" s="91">
        <v>0</v>
      </c>
    </row>
    <row r="41" spans="1:2" ht="15" customHeight="1">
      <c r="A41" s="24">
        <v>5202147</v>
      </c>
      <c r="B41" s="91">
        <v>2</v>
      </c>
    </row>
    <row r="42" spans="1:2" ht="15" customHeight="1">
      <c r="A42" s="24">
        <v>5202178</v>
      </c>
      <c r="B42" s="91">
        <v>4</v>
      </c>
    </row>
    <row r="43" spans="1:2" ht="15" customHeight="1">
      <c r="A43" s="24">
        <v>3373406</v>
      </c>
      <c r="B43" s="91">
        <v>2</v>
      </c>
    </row>
    <row r="44" spans="1:2" ht="15" customHeight="1">
      <c r="A44" s="26">
        <v>3168471</v>
      </c>
      <c r="B44" s="91">
        <v>2</v>
      </c>
    </row>
    <row r="45" spans="1:2" ht="15" customHeight="1">
      <c r="A45" s="24">
        <v>3168472</v>
      </c>
      <c r="B45" s="91">
        <v>0</v>
      </c>
    </row>
    <row r="46" spans="1:2" ht="15" customHeight="1">
      <c r="A46" s="24">
        <v>3168473</v>
      </c>
      <c r="B46" s="91">
        <v>0</v>
      </c>
    </row>
    <row r="47" spans="1:2" ht="15" customHeight="1">
      <c r="A47" s="24">
        <v>5302174</v>
      </c>
      <c r="B47" s="91">
        <v>1</v>
      </c>
    </row>
    <row r="48" spans="1:2" ht="15" customHeight="1">
      <c r="A48" s="24">
        <v>5302133</v>
      </c>
      <c r="B48" s="91">
        <v>0</v>
      </c>
    </row>
    <row r="49" spans="1:2" ht="15" customHeight="1">
      <c r="A49" s="24">
        <v>5302131</v>
      </c>
      <c r="B49" s="91">
        <v>0</v>
      </c>
    </row>
    <row r="50" spans="1:2" ht="15" customHeight="1">
      <c r="A50" s="24">
        <v>5302132</v>
      </c>
      <c r="B50" s="91">
        <v>0</v>
      </c>
    </row>
    <row r="51" spans="1:2" ht="15" customHeight="1">
      <c r="A51" s="24">
        <v>3375331</v>
      </c>
      <c r="B51" s="91">
        <v>0</v>
      </c>
    </row>
    <row r="52" spans="1:2" ht="15" customHeight="1">
      <c r="A52" s="24">
        <v>5306158</v>
      </c>
      <c r="B52" s="91">
        <v>1</v>
      </c>
    </row>
    <row r="53" spans="1:2" ht="15" customHeight="1">
      <c r="A53" s="24">
        <v>5306159</v>
      </c>
      <c r="B53" s="91">
        <v>2</v>
      </c>
    </row>
    <row r="54" spans="1:2" ht="15" customHeight="1">
      <c r="A54" s="24">
        <v>5306160</v>
      </c>
      <c r="B54" s="91">
        <v>1</v>
      </c>
    </row>
    <row r="55" spans="1:2" ht="15" customHeight="1">
      <c r="A55" s="24">
        <v>5306161</v>
      </c>
      <c r="B55" s="91">
        <v>1</v>
      </c>
    </row>
    <row r="56" spans="1:2" ht="15" customHeight="1">
      <c r="A56" s="24">
        <v>5306162</v>
      </c>
      <c r="B56" s="91">
        <v>2</v>
      </c>
    </row>
    <row r="57" spans="1:2" ht="15" customHeight="1">
      <c r="A57" s="24">
        <v>5206163</v>
      </c>
      <c r="B57" s="91">
        <v>3</v>
      </c>
    </row>
    <row r="58" spans="1:2" ht="15" customHeight="1">
      <c r="A58" s="24">
        <v>5206164</v>
      </c>
      <c r="B58" s="91">
        <v>3</v>
      </c>
    </row>
    <row r="59" spans="1:2" ht="15" customHeight="1">
      <c r="A59" s="24">
        <v>5306165</v>
      </c>
      <c r="B59" s="91">
        <v>1</v>
      </c>
    </row>
    <row r="60" spans="1:2" ht="15" customHeight="1">
      <c r="A60" s="24">
        <v>5306166</v>
      </c>
      <c r="B60" s="91">
        <v>1</v>
      </c>
    </row>
    <row r="61" spans="1:2" ht="15" customHeight="1">
      <c r="A61" s="24">
        <v>5306167</v>
      </c>
      <c r="B61" s="91">
        <v>2</v>
      </c>
    </row>
    <row r="62" spans="1:2" ht="15" customHeight="1">
      <c r="A62" s="24">
        <v>5206168</v>
      </c>
      <c r="B62" s="91">
        <v>3</v>
      </c>
    </row>
    <row r="63" spans="1:2" ht="15" customHeight="1">
      <c r="A63" s="24">
        <v>5306169</v>
      </c>
      <c r="B63" s="91">
        <v>2</v>
      </c>
    </row>
    <row r="64" spans="1:2" ht="15" customHeight="1">
      <c r="A64" s="24">
        <v>5306170</v>
      </c>
      <c r="B64" s="91">
        <v>1</v>
      </c>
    </row>
    <row r="65" spans="1:2" ht="15" customHeight="1">
      <c r="A65" s="24">
        <v>5306171</v>
      </c>
      <c r="B65" s="91">
        <v>3</v>
      </c>
    </row>
    <row r="66" spans="1:2" ht="15" customHeight="1">
      <c r="A66" s="24">
        <v>5303041</v>
      </c>
      <c r="B66" s="91">
        <v>1</v>
      </c>
    </row>
    <row r="67" spans="1:2" ht="15" customHeight="1">
      <c r="A67" s="24">
        <v>5303042</v>
      </c>
      <c r="B67" s="91">
        <v>1</v>
      </c>
    </row>
    <row r="68" spans="1:2" ht="15" customHeight="1">
      <c r="A68" s="24">
        <v>5203044</v>
      </c>
      <c r="B68" s="91">
        <v>5</v>
      </c>
    </row>
    <row r="69" spans="1:2" ht="15" customHeight="1">
      <c r="A69" s="24">
        <v>5303107</v>
      </c>
      <c r="B69" s="91">
        <v>2</v>
      </c>
    </row>
    <row r="70" spans="1:2" ht="15" customHeight="1">
      <c r="A70" s="24">
        <v>5303108</v>
      </c>
      <c r="B70" s="91">
        <v>2</v>
      </c>
    </row>
    <row r="71" spans="1:2" ht="15" customHeight="1">
      <c r="A71" s="24">
        <v>5203109</v>
      </c>
      <c r="B71" s="91">
        <v>2</v>
      </c>
    </row>
    <row r="72" spans="1:2" ht="15" customHeight="1">
      <c r="A72" s="24">
        <v>5303149</v>
      </c>
      <c r="B72" s="91">
        <v>1</v>
      </c>
    </row>
    <row r="73" spans="1:2" ht="15" customHeight="1">
      <c r="A73" s="24">
        <v>5303104</v>
      </c>
      <c r="B73" s="91">
        <v>0</v>
      </c>
    </row>
    <row r="74" spans="1:2" ht="15" customHeight="1">
      <c r="A74" s="24">
        <v>5303105</v>
      </c>
      <c r="B74" s="91">
        <v>1</v>
      </c>
    </row>
    <row r="75" spans="1:2" ht="15" customHeight="1">
      <c r="A75" s="24">
        <v>5303106</v>
      </c>
      <c r="B75" s="91">
        <v>1</v>
      </c>
    </row>
    <row r="76" spans="1:2" ht="15" customHeight="1">
      <c r="A76" s="24">
        <v>5303150</v>
      </c>
      <c r="B76" s="91">
        <v>1</v>
      </c>
    </row>
    <row r="77" spans="1:2" ht="15" customHeight="1">
      <c r="A77" s="24">
        <v>5303096</v>
      </c>
      <c r="B77" s="91">
        <v>0</v>
      </c>
    </row>
    <row r="78" spans="1:2" ht="15" customHeight="1">
      <c r="A78" s="24">
        <v>5303097</v>
      </c>
      <c r="B78" s="91">
        <v>1</v>
      </c>
    </row>
    <row r="79" spans="1:2" ht="15" customHeight="1">
      <c r="A79" s="24">
        <v>5303098</v>
      </c>
      <c r="B79" s="91">
        <v>1</v>
      </c>
    </row>
    <row r="80" spans="1:2" ht="15" customHeight="1">
      <c r="A80" s="24">
        <v>5303176</v>
      </c>
      <c r="B80" s="91">
        <v>1</v>
      </c>
    </row>
    <row r="81" spans="1:2" ht="15" customHeight="1">
      <c r="A81" s="24">
        <v>5303175</v>
      </c>
      <c r="B81" s="91">
        <v>1</v>
      </c>
    </row>
    <row r="82" spans="1:2" ht="15" customHeight="1">
      <c r="A82" s="24">
        <v>5203113</v>
      </c>
      <c r="B82" s="91">
        <v>0</v>
      </c>
    </row>
    <row r="83" spans="1:2" ht="15" customHeight="1">
      <c r="A83" s="24">
        <v>5203118</v>
      </c>
      <c r="B83" s="91">
        <v>2</v>
      </c>
    </row>
    <row r="84" spans="1:2" ht="15" customHeight="1">
      <c r="A84" s="24">
        <v>5303122</v>
      </c>
      <c r="B84" s="91">
        <v>1</v>
      </c>
    </row>
    <row r="85" spans="1:2" ht="15" customHeight="1">
      <c r="A85" s="24">
        <v>5303123</v>
      </c>
      <c r="B85" s="91">
        <v>2</v>
      </c>
    </row>
    <row r="86" spans="1:2" ht="15" customHeight="1">
      <c r="A86" s="24">
        <v>5203124</v>
      </c>
      <c r="B86" s="91">
        <v>4</v>
      </c>
    </row>
    <row r="87" spans="1:2" ht="15" customHeight="1">
      <c r="A87" s="24">
        <v>5303125</v>
      </c>
      <c r="B87" s="91">
        <v>2</v>
      </c>
    </row>
    <row r="88" spans="1:2" ht="15" customHeight="1">
      <c r="A88" s="24">
        <v>5303126</v>
      </c>
      <c r="B88" s="91">
        <v>1</v>
      </c>
    </row>
    <row r="89" spans="1:2" ht="15" customHeight="1">
      <c r="A89" s="24">
        <v>5303127</v>
      </c>
      <c r="B89" s="91">
        <v>2</v>
      </c>
    </row>
    <row r="90" spans="1:2" ht="15" customHeight="1">
      <c r="A90" s="24">
        <v>5203121</v>
      </c>
      <c r="B90" s="91">
        <v>3</v>
      </c>
    </row>
    <row r="91" spans="1:2" ht="15" customHeight="1">
      <c r="A91" s="24">
        <v>5303043</v>
      </c>
      <c r="B91" s="91">
        <v>3</v>
      </c>
    </row>
    <row r="92" spans="1:2" ht="15" customHeight="1">
      <c r="A92" s="26">
        <v>5207198</v>
      </c>
      <c r="B92" s="91">
        <v>0</v>
      </c>
    </row>
    <row r="93" spans="1:2" ht="15" customHeight="1">
      <c r="A93" s="24">
        <v>5303111</v>
      </c>
      <c r="B93" s="91">
        <v>2</v>
      </c>
    </row>
    <row r="94" spans="1:2" ht="15" customHeight="1">
      <c r="A94" s="24">
        <v>5303112</v>
      </c>
      <c r="B94" s="91">
        <v>0</v>
      </c>
    </row>
    <row r="95" spans="1:2" ht="15" customHeight="1">
      <c r="A95" s="24">
        <v>5303033</v>
      </c>
      <c r="B95" s="91">
        <v>1</v>
      </c>
    </row>
    <row r="96" spans="1:2" ht="15" customHeight="1">
      <c r="A96" s="24">
        <v>5303034</v>
      </c>
      <c r="B96" s="91">
        <v>1</v>
      </c>
    </row>
    <row r="97" spans="1:2" ht="15" customHeight="1">
      <c r="A97" s="24">
        <v>5303035</v>
      </c>
      <c r="B97" s="91">
        <v>2</v>
      </c>
    </row>
    <row r="98" spans="1:2" ht="15" customHeight="1">
      <c r="A98" s="24">
        <v>5303036</v>
      </c>
      <c r="B98" s="91">
        <v>1</v>
      </c>
    </row>
    <row r="99" spans="1:2" ht="15" customHeight="1">
      <c r="A99" s="24">
        <v>5303037</v>
      </c>
      <c r="B99" s="91">
        <v>0</v>
      </c>
    </row>
    <row r="100" spans="1:2" ht="15" customHeight="1">
      <c r="A100" s="24">
        <v>5303038</v>
      </c>
      <c r="B100" s="91">
        <v>3</v>
      </c>
    </row>
    <row r="101" spans="1:2" ht="15" customHeight="1">
      <c r="A101" s="24">
        <v>5303119</v>
      </c>
      <c r="B101" s="91">
        <v>1</v>
      </c>
    </row>
    <row r="102" spans="1:2" ht="15" customHeight="1">
      <c r="A102" s="24">
        <v>5303120</v>
      </c>
      <c r="B102" s="91">
        <v>0</v>
      </c>
    </row>
    <row r="103" spans="1:2" ht="15" customHeight="1">
      <c r="A103" s="24">
        <v>5303039</v>
      </c>
      <c r="B103" s="91">
        <v>1</v>
      </c>
    </row>
    <row r="104" spans="1:2" ht="15" customHeight="1">
      <c r="A104" s="24">
        <v>5303040</v>
      </c>
      <c r="B104" s="91">
        <v>1</v>
      </c>
    </row>
    <row r="105" spans="1:2" ht="15" customHeight="1">
      <c r="A105" s="24">
        <v>5303099</v>
      </c>
      <c r="B105" s="91">
        <v>1</v>
      </c>
    </row>
    <row r="106" spans="1:2" ht="15" customHeight="1">
      <c r="A106" s="24">
        <v>5303100</v>
      </c>
      <c r="B106" s="91">
        <v>1</v>
      </c>
    </row>
    <row r="107" spans="1:2" ht="15" customHeight="1">
      <c r="A107" s="24">
        <v>5303101</v>
      </c>
      <c r="B107" s="91">
        <v>0</v>
      </c>
    </row>
    <row r="108" spans="1:2" ht="15" customHeight="1">
      <c r="A108" s="24">
        <v>5303102</v>
      </c>
      <c r="B108" s="91">
        <v>0</v>
      </c>
    </row>
    <row r="109" spans="1:2" ht="15" customHeight="1">
      <c r="A109" s="24">
        <v>5303121</v>
      </c>
      <c r="B109" s="91">
        <v>3</v>
      </c>
    </row>
    <row r="110" spans="1:2" ht="15" customHeight="1">
      <c r="A110" s="24">
        <v>5303496</v>
      </c>
      <c r="B110" s="91">
        <v>1</v>
      </c>
    </row>
    <row r="111" spans="1:2" ht="15" customHeight="1">
      <c r="A111" s="24">
        <v>5303497</v>
      </c>
      <c r="B111" s="91">
        <v>2</v>
      </c>
    </row>
    <row r="112" spans="1:2" ht="15" customHeight="1">
      <c r="A112" s="24">
        <v>5203495</v>
      </c>
      <c r="B112" s="91">
        <v>5</v>
      </c>
    </row>
    <row r="113" spans="1:2" ht="15" customHeight="1">
      <c r="A113" s="26">
        <v>3185808</v>
      </c>
      <c r="B113" s="91">
        <v>1</v>
      </c>
    </row>
    <row r="114" spans="1:2" ht="15" customHeight="1">
      <c r="A114" s="26">
        <v>3185809</v>
      </c>
      <c r="B114" s="91">
        <v>1</v>
      </c>
    </row>
    <row r="115" spans="1:2" ht="15" customHeight="1">
      <c r="A115" s="26">
        <v>3185810</v>
      </c>
      <c r="B115" s="91">
        <v>4</v>
      </c>
    </row>
    <row r="116" spans="1:2" ht="15" customHeight="1">
      <c r="A116" s="26">
        <v>3387431</v>
      </c>
      <c r="B116" s="91">
        <v>4</v>
      </c>
    </row>
    <row r="117" spans="1:2" ht="15" customHeight="1">
      <c r="A117" s="26">
        <v>3387442</v>
      </c>
      <c r="B117" s="91">
        <v>3</v>
      </c>
    </row>
    <row r="118" spans="1:2" ht="15" customHeight="1">
      <c r="A118" s="26">
        <v>3387398</v>
      </c>
      <c r="B118" s="91">
        <v>3</v>
      </c>
    </row>
    <row r="119" spans="1:2" ht="15" customHeight="1">
      <c r="A119" s="26">
        <v>5207203</v>
      </c>
      <c r="B119" s="91">
        <v>0</v>
      </c>
    </row>
    <row r="120" spans="1:2" ht="15" customHeight="1">
      <c r="A120" s="26">
        <v>5204262</v>
      </c>
      <c r="B120" s="91">
        <v>4</v>
      </c>
    </row>
    <row r="121" spans="1:2" ht="15" customHeight="1">
      <c r="A121" s="24">
        <v>5204259</v>
      </c>
      <c r="B121" s="91">
        <v>4</v>
      </c>
    </row>
    <row r="122" spans="1:2" ht="15" customHeight="1">
      <c r="A122" s="24">
        <v>5204308</v>
      </c>
      <c r="B122" s="91">
        <v>5</v>
      </c>
    </row>
    <row r="123" spans="1:2" ht="15" customHeight="1">
      <c r="A123" s="24">
        <v>5304364</v>
      </c>
      <c r="B123" s="91">
        <v>0</v>
      </c>
    </row>
    <row r="124" spans="1:2" ht="15" customHeight="1">
      <c r="A124" s="24">
        <v>5304336</v>
      </c>
      <c r="B124" s="91">
        <v>3</v>
      </c>
    </row>
    <row r="125" spans="1:2" ht="15" customHeight="1">
      <c r="A125" s="24">
        <v>5304360</v>
      </c>
      <c r="B125" s="91">
        <v>0</v>
      </c>
    </row>
    <row r="126" spans="1:2" ht="15" customHeight="1">
      <c r="A126" s="26">
        <v>5304361</v>
      </c>
      <c r="B126" s="91">
        <v>0</v>
      </c>
    </row>
    <row r="127" spans="1:2" ht="15" customHeight="1">
      <c r="A127" s="26">
        <v>5304362</v>
      </c>
      <c r="B127" s="91">
        <v>0</v>
      </c>
    </row>
    <row r="128" spans="1:2" ht="15" customHeight="1">
      <c r="A128" s="26">
        <v>5304363</v>
      </c>
      <c r="B128" s="91">
        <v>2</v>
      </c>
    </row>
    <row r="129" spans="1:2" ht="15" customHeight="1">
      <c r="A129" s="24">
        <v>5204249</v>
      </c>
      <c r="B129" s="91">
        <v>2</v>
      </c>
    </row>
    <row r="130" spans="1:2" ht="15" customHeight="1">
      <c r="A130" s="24">
        <v>5204250</v>
      </c>
      <c r="B130" s="91">
        <v>2</v>
      </c>
    </row>
    <row r="131" spans="1:2" ht="15" customHeight="1">
      <c r="A131" s="24">
        <v>5204251</v>
      </c>
      <c r="B131" s="91">
        <v>1</v>
      </c>
    </row>
    <row r="132" spans="1:2" ht="15" customHeight="1">
      <c r="A132" s="24">
        <v>5304252</v>
      </c>
      <c r="B132" s="91">
        <v>0</v>
      </c>
    </row>
    <row r="133" spans="1:2" ht="15" customHeight="1">
      <c r="A133" s="24">
        <v>5304253</v>
      </c>
      <c r="B133" s="91">
        <v>2</v>
      </c>
    </row>
    <row r="134" spans="1:2" ht="15" customHeight="1">
      <c r="A134" s="24">
        <v>5304254</v>
      </c>
      <c r="B134" s="91">
        <v>1</v>
      </c>
    </row>
    <row r="135" spans="1:2" ht="15" customHeight="1">
      <c r="A135" s="24">
        <v>5304255</v>
      </c>
      <c r="B135" s="91">
        <v>1</v>
      </c>
    </row>
    <row r="136" spans="1:2" ht="15" customHeight="1">
      <c r="A136" s="24">
        <v>5304256</v>
      </c>
      <c r="B136" s="91">
        <v>0</v>
      </c>
    </row>
    <row r="137" spans="1:2" ht="15" customHeight="1">
      <c r="A137" s="24">
        <v>5304257</v>
      </c>
      <c r="B137" s="91">
        <v>1</v>
      </c>
    </row>
    <row r="138" spans="1:2" ht="15" customHeight="1">
      <c r="A138" s="24">
        <v>5204258</v>
      </c>
      <c r="B138" s="91">
        <v>3</v>
      </c>
    </row>
    <row r="139" spans="1:2" ht="15" customHeight="1">
      <c r="A139" s="24">
        <v>5304367</v>
      </c>
      <c r="B139" s="91">
        <v>1</v>
      </c>
    </row>
    <row r="140" spans="1:2" ht="15" customHeight="1">
      <c r="A140" s="24">
        <v>5304246</v>
      </c>
      <c r="B140" s="91">
        <v>1</v>
      </c>
    </row>
    <row r="141" spans="1:2" ht="15" customHeight="1">
      <c r="A141" s="24">
        <v>5304369</v>
      </c>
      <c r="B141" s="91">
        <v>0</v>
      </c>
    </row>
    <row r="142" spans="1:2" ht="15" customHeight="1">
      <c r="A142" s="24">
        <v>5304421</v>
      </c>
      <c r="B142" s="91">
        <v>1</v>
      </c>
    </row>
    <row r="143" spans="1:2" ht="15" customHeight="1">
      <c r="A143" s="24">
        <v>5304420</v>
      </c>
      <c r="B143" s="91">
        <v>1</v>
      </c>
    </row>
    <row r="144" spans="1:2" ht="15" customHeight="1">
      <c r="A144" s="24">
        <v>5304247</v>
      </c>
      <c r="B144" s="91">
        <v>0</v>
      </c>
    </row>
    <row r="145" spans="1:2" ht="15" customHeight="1">
      <c r="A145" s="24">
        <v>5304368</v>
      </c>
      <c r="B145" s="91">
        <v>0</v>
      </c>
    </row>
    <row r="146" spans="1:2" ht="15" customHeight="1">
      <c r="A146" s="26">
        <v>5205286</v>
      </c>
      <c r="B146" s="91">
        <v>2</v>
      </c>
    </row>
    <row r="147" spans="1:2" ht="15" customHeight="1">
      <c r="A147" s="26">
        <v>5205321</v>
      </c>
      <c r="B147" s="91">
        <v>2</v>
      </c>
    </row>
    <row r="148" spans="1:2" ht="15" customHeight="1">
      <c r="A148" s="26">
        <v>5205339</v>
      </c>
      <c r="B148" s="91">
        <v>2</v>
      </c>
    </row>
    <row r="149" spans="1:2" ht="15" customHeight="1">
      <c r="A149" s="26">
        <v>5305355</v>
      </c>
      <c r="B149" s="91">
        <v>1</v>
      </c>
    </row>
    <row r="150" spans="1:2" ht="15" customHeight="1">
      <c r="A150" s="26">
        <v>5305341</v>
      </c>
      <c r="B150" s="91">
        <v>1</v>
      </c>
    </row>
    <row r="151" spans="1:2" ht="15" customHeight="1">
      <c r="A151" s="26">
        <v>5305415</v>
      </c>
      <c r="B151" s="91">
        <v>1</v>
      </c>
    </row>
    <row r="152" spans="1:2" ht="15" customHeight="1">
      <c r="A152" s="26">
        <v>5305416</v>
      </c>
      <c r="B152" s="91">
        <v>0</v>
      </c>
    </row>
    <row r="153" spans="1:2" ht="15" customHeight="1">
      <c r="A153" s="26">
        <v>5305417</v>
      </c>
      <c r="B153" s="91">
        <v>1</v>
      </c>
    </row>
    <row r="154" spans="1:2" ht="15" customHeight="1">
      <c r="A154" s="26">
        <v>5305298</v>
      </c>
      <c r="B154" s="91">
        <v>2</v>
      </c>
    </row>
    <row r="155" spans="1:2" ht="15" customHeight="1">
      <c r="A155" s="26">
        <v>5305419</v>
      </c>
      <c r="B155" s="91">
        <v>1</v>
      </c>
    </row>
    <row r="156" spans="1:2" ht="15" customHeight="1">
      <c r="A156" s="26">
        <v>5305343</v>
      </c>
      <c r="B156" s="91">
        <v>1</v>
      </c>
    </row>
    <row r="157" spans="1:2" ht="15" customHeight="1">
      <c r="A157" s="26">
        <v>5305288</v>
      </c>
      <c r="B157" s="91">
        <v>1</v>
      </c>
    </row>
    <row r="158" spans="1:2" ht="15" customHeight="1">
      <c r="A158" s="26">
        <v>5305418</v>
      </c>
      <c r="B158" s="91">
        <v>0</v>
      </c>
    </row>
    <row r="159" spans="1:2" ht="15" customHeight="1">
      <c r="A159" s="26">
        <v>5305290</v>
      </c>
      <c r="B159" s="91">
        <v>1</v>
      </c>
    </row>
    <row r="160" spans="1:2" ht="15" customHeight="1">
      <c r="A160" s="26">
        <v>5305300</v>
      </c>
      <c r="B160" s="91">
        <v>1</v>
      </c>
    </row>
    <row r="161" spans="1:2" ht="15" customHeight="1">
      <c r="A161" s="26">
        <v>5305301</v>
      </c>
      <c r="B161" s="91">
        <v>1</v>
      </c>
    </row>
    <row r="162" spans="1:2" ht="15" customHeight="1">
      <c r="A162" s="26">
        <v>5205212</v>
      </c>
      <c r="B162" s="91">
        <v>2</v>
      </c>
    </row>
    <row r="163" spans="1:2" ht="15" customHeight="1">
      <c r="A163" s="26">
        <v>5205213</v>
      </c>
      <c r="B163" s="91">
        <v>2</v>
      </c>
    </row>
    <row r="164" spans="1:2" ht="15" customHeight="1">
      <c r="A164" s="26">
        <v>5305398</v>
      </c>
      <c r="B164" s="91">
        <v>1</v>
      </c>
    </row>
    <row r="165" spans="1:2" ht="15" customHeight="1">
      <c r="A165" s="26">
        <v>5305315</v>
      </c>
      <c r="B165" s="91">
        <v>1</v>
      </c>
    </row>
    <row r="166" spans="1:2" ht="15" customHeight="1">
      <c r="A166" s="26">
        <v>5305399</v>
      </c>
      <c r="B166" s="91">
        <v>1</v>
      </c>
    </row>
    <row r="167" spans="1:2" ht="15" customHeight="1">
      <c r="A167" s="26">
        <v>5305218</v>
      </c>
      <c r="B167" s="91">
        <v>1</v>
      </c>
    </row>
    <row r="168" spans="1:2" ht="15" customHeight="1">
      <c r="A168" s="26">
        <v>5305219</v>
      </c>
      <c r="B168" s="91">
        <v>1</v>
      </c>
    </row>
    <row r="169" spans="1:2" ht="15" customHeight="1">
      <c r="A169" s="26">
        <v>5205366</v>
      </c>
      <c r="B169" s="91">
        <v>2</v>
      </c>
    </row>
    <row r="170" spans="1:2" ht="15" customHeight="1">
      <c r="A170" s="26">
        <v>5205356</v>
      </c>
      <c r="B170" s="91">
        <v>2</v>
      </c>
    </row>
    <row r="171" spans="1:2" ht="15" customHeight="1">
      <c r="A171" s="26">
        <v>5205239</v>
      </c>
      <c r="B171" s="91">
        <v>2</v>
      </c>
    </row>
    <row r="172" spans="1:2" ht="15" customHeight="1">
      <c r="A172" s="26">
        <v>5205236</v>
      </c>
      <c r="B172" s="91">
        <v>2</v>
      </c>
    </row>
    <row r="173" spans="1:2" ht="15" customHeight="1">
      <c r="A173" s="26">
        <v>5305400</v>
      </c>
      <c r="B173" s="91">
        <v>1</v>
      </c>
    </row>
    <row r="174" spans="1:2" ht="15" customHeight="1">
      <c r="A174" s="26">
        <v>5305401</v>
      </c>
      <c r="B174" s="91">
        <v>0</v>
      </c>
    </row>
    <row r="175" spans="1:2" ht="15" customHeight="1">
      <c r="A175" s="26">
        <v>5205208</v>
      </c>
      <c r="B175" s="91">
        <v>2</v>
      </c>
    </row>
    <row r="176" spans="1:2" ht="15" customHeight="1">
      <c r="A176" s="26">
        <v>5205217</v>
      </c>
      <c r="B176" s="91">
        <v>2</v>
      </c>
    </row>
    <row r="177" spans="1:2" ht="15" customHeight="1">
      <c r="A177" s="26">
        <v>5205234</v>
      </c>
      <c r="B177" s="91">
        <v>2</v>
      </c>
    </row>
    <row r="178" spans="1:2" ht="15" customHeight="1">
      <c r="A178" s="24">
        <v>3378884</v>
      </c>
      <c r="B178" s="91">
        <v>3</v>
      </c>
    </row>
    <row r="179" spans="1:2" ht="15" customHeight="1">
      <c r="A179" s="24">
        <v>3378895</v>
      </c>
      <c r="B179" s="91">
        <v>3</v>
      </c>
    </row>
    <row r="180" spans="1:2" ht="15" customHeight="1">
      <c r="A180" s="24">
        <v>3378862</v>
      </c>
      <c r="B180" s="91">
        <v>4</v>
      </c>
    </row>
    <row r="181" spans="1:2" ht="15" customHeight="1">
      <c r="A181" s="24">
        <v>3378158</v>
      </c>
      <c r="B181" s="91">
        <v>3</v>
      </c>
    </row>
    <row r="182" spans="1:2" ht="15" customHeight="1">
      <c r="A182" s="24">
        <v>3168894</v>
      </c>
      <c r="B182" s="91">
        <v>1</v>
      </c>
    </row>
    <row r="183" spans="1:2" ht="15" customHeight="1">
      <c r="A183" s="24">
        <v>3168895</v>
      </c>
      <c r="B183" s="91">
        <v>2</v>
      </c>
    </row>
    <row r="184" spans="1:2" ht="15" customHeight="1">
      <c r="A184" s="24">
        <v>3168896</v>
      </c>
      <c r="B184" s="91">
        <v>1</v>
      </c>
    </row>
    <row r="185" spans="1:2" ht="15" customHeight="1">
      <c r="A185" s="24">
        <v>3378015</v>
      </c>
      <c r="B185" s="91">
        <v>3</v>
      </c>
    </row>
    <row r="186" spans="1:2" ht="15" customHeight="1">
      <c r="A186" s="24">
        <v>3378048</v>
      </c>
      <c r="B186" s="91">
        <v>2</v>
      </c>
    </row>
    <row r="187" spans="1:2" ht="15" customHeight="1">
      <c r="A187" s="24">
        <v>3168905</v>
      </c>
      <c r="B187" s="91">
        <v>1</v>
      </c>
    </row>
    <row r="188" spans="1:2" ht="15" customHeight="1">
      <c r="A188" s="24">
        <v>3168906</v>
      </c>
      <c r="B188" s="91">
        <v>0</v>
      </c>
    </row>
    <row r="189" spans="1:2" ht="15" customHeight="1">
      <c r="A189" s="24">
        <v>3168907</v>
      </c>
      <c r="B189" s="91">
        <v>2</v>
      </c>
    </row>
    <row r="190" spans="1:2" ht="15" customHeight="1">
      <c r="A190" s="24">
        <v>3378081</v>
      </c>
      <c r="B190" s="91">
        <v>3</v>
      </c>
    </row>
    <row r="191" spans="1:2" ht="15" customHeight="1">
      <c r="A191" s="24">
        <v>3168941</v>
      </c>
      <c r="B191" s="91">
        <v>2</v>
      </c>
    </row>
    <row r="192" spans="1:2" ht="15" customHeight="1">
      <c r="A192" s="24">
        <v>3168942</v>
      </c>
      <c r="B192" s="91">
        <v>1</v>
      </c>
    </row>
    <row r="193" spans="1:2" ht="15" customHeight="1">
      <c r="A193" s="24">
        <v>3168900</v>
      </c>
      <c r="B193" s="91">
        <v>1</v>
      </c>
    </row>
    <row r="194" spans="1:2" ht="15" customHeight="1">
      <c r="A194" s="24">
        <v>3168901</v>
      </c>
      <c r="B194" s="91">
        <v>2</v>
      </c>
    </row>
    <row r="195" spans="1:2" ht="15" customHeight="1">
      <c r="A195" s="24">
        <v>3168902</v>
      </c>
      <c r="B195" s="91">
        <v>0</v>
      </c>
    </row>
    <row r="196" spans="1:2" ht="15" customHeight="1">
      <c r="A196" s="24">
        <v>3168903</v>
      </c>
      <c r="B196" s="91">
        <v>1</v>
      </c>
    </row>
    <row r="197" spans="1:2" ht="15" customHeight="1">
      <c r="A197" s="24">
        <v>3168904</v>
      </c>
      <c r="B197" s="91">
        <v>2</v>
      </c>
    </row>
    <row r="198" spans="1:2" ht="15" customHeight="1">
      <c r="A198" s="24">
        <v>5201001</v>
      </c>
      <c r="B198" s="91">
        <v>4</v>
      </c>
    </row>
    <row r="199" spans="1:2" ht="15" customHeight="1">
      <c r="A199" s="24">
        <v>5201002</v>
      </c>
      <c r="B199" s="91">
        <v>4</v>
      </c>
    </row>
    <row r="200" spans="1:2" ht="15" customHeight="1">
      <c r="A200" s="24">
        <v>5201003</v>
      </c>
      <c r="B200" s="91">
        <v>4</v>
      </c>
    </row>
    <row r="201" spans="1:2" ht="15" customHeight="1">
      <c r="A201" s="24">
        <v>5201004</v>
      </c>
      <c r="B201" s="91">
        <v>5</v>
      </c>
    </row>
    <row r="202" spans="1:2" ht="15" customHeight="1">
      <c r="A202" s="24">
        <v>5201006</v>
      </c>
      <c r="B202" s="91">
        <v>3</v>
      </c>
    </row>
    <row r="203" spans="1:2" ht="15" customHeight="1">
      <c r="A203" s="24">
        <v>5201032</v>
      </c>
      <c r="B203" s="91">
        <v>0</v>
      </c>
    </row>
    <row r="204" spans="1:2" ht="15" customHeight="1">
      <c r="A204" s="24">
        <v>5201031</v>
      </c>
      <c r="B204" s="91">
        <v>1</v>
      </c>
    </row>
    <row r="205" spans="1:2" ht="15" customHeight="1">
      <c r="A205" s="24">
        <v>5201008</v>
      </c>
      <c r="B205" s="91">
        <v>1</v>
      </c>
    </row>
    <row r="206" spans="1:2" ht="15" customHeight="1">
      <c r="A206" s="24">
        <v>5201016</v>
      </c>
      <c r="B206" s="91">
        <v>3</v>
      </c>
    </row>
    <row r="207" spans="1:2" ht="15" customHeight="1">
      <c r="A207" s="24">
        <v>5301010</v>
      </c>
      <c r="B207" s="91">
        <v>1</v>
      </c>
    </row>
    <row r="208" spans="1:2" ht="15" customHeight="1">
      <c r="A208" s="24">
        <v>5301011</v>
      </c>
      <c r="B208" s="91">
        <v>3</v>
      </c>
    </row>
    <row r="209" spans="1:2" ht="15" customHeight="1">
      <c r="A209" s="24">
        <v>5301012</v>
      </c>
      <c r="B209" s="91">
        <v>1</v>
      </c>
    </row>
    <row r="210" spans="1:2" ht="15" customHeight="1">
      <c r="A210" s="24">
        <v>5301013</v>
      </c>
      <c r="B210" s="91">
        <v>1</v>
      </c>
    </row>
    <row r="211" spans="1:2" ht="15" customHeight="1">
      <c r="A211" s="24">
        <v>5301017</v>
      </c>
      <c r="B211" s="91">
        <v>2</v>
      </c>
    </row>
    <row r="212" spans="1:2" ht="15" customHeight="1">
      <c r="A212" s="24">
        <v>5301018</v>
      </c>
      <c r="B212" s="91">
        <v>2</v>
      </c>
    </row>
    <row r="213" spans="1:2" ht="15" customHeight="1">
      <c r="A213" s="24">
        <v>5301021</v>
      </c>
      <c r="B213" s="91">
        <v>3</v>
      </c>
    </row>
    <row r="214" spans="1:2" ht="15" customHeight="1">
      <c r="A214" s="24">
        <v>5301022</v>
      </c>
      <c r="B214" s="91">
        <v>2</v>
      </c>
    </row>
    <row r="215" spans="1:2" ht="15" customHeight="1">
      <c r="A215" s="24">
        <v>5301014</v>
      </c>
      <c r="B215" s="91">
        <v>1</v>
      </c>
    </row>
    <row r="216" spans="1:2" ht="15" customHeight="1">
      <c r="A216" s="24">
        <v>5301015</v>
      </c>
      <c r="B216" s="91">
        <v>2</v>
      </c>
    </row>
    <row r="217" spans="1:2" ht="15" customHeight="1">
      <c r="A217" s="24">
        <v>5301026</v>
      </c>
      <c r="B217" s="91">
        <v>0</v>
      </c>
    </row>
    <row r="218" spans="1:2" ht="15" customHeight="1">
      <c r="A218" s="24">
        <v>5301027</v>
      </c>
      <c r="B218" s="91">
        <v>1</v>
      </c>
    </row>
    <row r="219" spans="1:2" ht="15" customHeight="1">
      <c r="A219" s="24">
        <v>5301028</v>
      </c>
      <c r="B219" s="91">
        <v>2</v>
      </c>
    </row>
    <row r="220" spans="1:2" ht="15" customHeight="1">
      <c r="A220" s="24">
        <v>5301029</v>
      </c>
      <c r="B220" s="91">
        <v>1</v>
      </c>
    </row>
    <row r="221" spans="1:2" ht="15" customHeight="1">
      <c r="A221" s="24">
        <v>5301030</v>
      </c>
      <c r="B221" s="91">
        <v>1</v>
      </c>
    </row>
    <row r="222" spans="1:2" ht="15" customHeight="1">
      <c r="A222" s="24">
        <v>5201025</v>
      </c>
      <c r="B222" s="91">
        <v>3</v>
      </c>
    </row>
    <row r="223" spans="1:2" ht="15" customHeight="1">
      <c r="A223" s="24">
        <v>5301023</v>
      </c>
      <c r="B223" s="91">
        <v>2</v>
      </c>
    </row>
    <row r="224" spans="1:2" ht="15" customHeight="1">
      <c r="A224" s="24">
        <v>5301024</v>
      </c>
      <c r="B224" s="91">
        <v>1</v>
      </c>
    </row>
    <row r="225" spans="1:2" ht="15" customHeight="1">
      <c r="A225" s="24">
        <v>5201114</v>
      </c>
      <c r="B225" s="91">
        <v>3</v>
      </c>
    </row>
    <row r="226" spans="1:2" ht="15" customHeight="1">
      <c r="A226" s="24">
        <v>3168897</v>
      </c>
      <c r="B226" s="91">
        <v>1</v>
      </c>
    </row>
    <row r="227" spans="1:2" ht="15" customHeight="1">
      <c r="A227" s="24">
        <v>3168898</v>
      </c>
      <c r="B227" s="91">
        <v>1</v>
      </c>
    </row>
    <row r="228" spans="1:2" ht="15" customHeight="1">
      <c r="A228" s="24">
        <v>5301064</v>
      </c>
      <c r="B228" s="91">
        <v>0</v>
      </c>
    </row>
    <row r="229" spans="1:2" ht="15" customHeight="1">
      <c r="A229" s="24">
        <v>5301065</v>
      </c>
      <c r="B229" s="91">
        <v>1</v>
      </c>
    </row>
    <row r="230" spans="1:2" ht="15" customHeight="1">
      <c r="A230" s="24">
        <v>5301066</v>
      </c>
      <c r="B230" s="91">
        <v>2</v>
      </c>
    </row>
    <row r="231" spans="1:2" ht="15" customHeight="1">
      <c r="A231" s="24">
        <v>5301059</v>
      </c>
      <c r="B231" s="91">
        <v>2</v>
      </c>
    </row>
    <row r="232" spans="1:2" ht="15" customHeight="1">
      <c r="A232" s="24">
        <v>3168909</v>
      </c>
      <c r="B232" s="91">
        <v>2</v>
      </c>
    </row>
    <row r="233" spans="1:2" ht="15" customHeight="1">
      <c r="A233" s="24">
        <v>5301061</v>
      </c>
      <c r="B233" s="91">
        <v>0</v>
      </c>
    </row>
    <row r="234" spans="1:2" ht="15" customHeight="1">
      <c r="A234" s="24">
        <v>5301115</v>
      </c>
      <c r="B234" s="91">
        <v>2</v>
      </c>
    </row>
    <row r="235" spans="1:2" ht="15" customHeight="1">
      <c r="A235" s="24">
        <v>5301116</v>
      </c>
      <c r="B235" s="91">
        <v>1</v>
      </c>
    </row>
    <row r="236" spans="1:2" ht="15" customHeight="1">
      <c r="A236" s="24">
        <v>5201094</v>
      </c>
      <c r="B236" s="91">
        <v>2</v>
      </c>
    </row>
    <row r="237" spans="1:2" ht="15" customHeight="1">
      <c r="A237" s="24">
        <v>5201007</v>
      </c>
      <c r="B237" s="91">
        <v>3</v>
      </c>
    </row>
    <row r="238" spans="1:2" ht="15" customHeight="1">
      <c r="A238" s="26">
        <v>5207199</v>
      </c>
      <c r="B238" s="91">
        <v>1</v>
      </c>
    </row>
    <row r="239" spans="1:2" ht="15" customHeight="1">
      <c r="A239" s="26">
        <v>5207200</v>
      </c>
      <c r="B239" s="91">
        <v>0</v>
      </c>
    </row>
    <row r="240" spans="1:2" ht="15" customHeight="1">
      <c r="A240" s="26">
        <v>5207201</v>
      </c>
      <c r="B240" s="91">
        <v>1</v>
      </c>
    </row>
    <row r="241" spans="1:2" ht="15" customHeight="1">
      <c r="A241" s="26">
        <v>5207202</v>
      </c>
      <c r="B241" s="91">
        <v>4</v>
      </c>
    </row>
    <row r="242" spans="1:2" ht="15" customHeight="1">
      <c r="A242" s="26">
        <v>5201370</v>
      </c>
      <c r="B242" s="91">
        <v>3</v>
      </c>
    </row>
    <row r="243" spans="1:2" ht="15" customHeight="1">
      <c r="A243" s="26">
        <v>5201406</v>
      </c>
      <c r="B243" s="91">
        <v>3</v>
      </c>
    </row>
    <row r="244" spans="1:2" ht="15" customHeight="1">
      <c r="A244" s="26">
        <v>5201407</v>
      </c>
      <c r="B244" s="91">
        <v>3</v>
      </c>
    </row>
    <row r="245" spans="1:2" ht="15" customHeight="1">
      <c r="A245" s="26">
        <v>5201381</v>
      </c>
      <c r="B245" s="91">
        <v>3</v>
      </c>
    </row>
    <row r="246" spans="1:2" ht="15" customHeight="1">
      <c r="A246" s="26">
        <v>5201386</v>
      </c>
      <c r="B246" s="91">
        <v>3</v>
      </c>
    </row>
    <row r="247" spans="1:2" ht="15" customHeight="1">
      <c r="A247" s="26">
        <v>5301379</v>
      </c>
      <c r="B247" s="91">
        <v>2</v>
      </c>
    </row>
    <row r="248" spans="1:2" ht="15" customHeight="1">
      <c r="A248" s="26">
        <v>5301380</v>
      </c>
      <c r="B248" s="91">
        <v>3</v>
      </c>
    </row>
    <row r="249" spans="1:2" ht="15" customHeight="1">
      <c r="A249" s="26">
        <v>5301371</v>
      </c>
      <c r="B249" s="91">
        <v>2</v>
      </c>
    </row>
    <row r="250" spans="1:2" ht="15" customHeight="1">
      <c r="A250" s="26">
        <v>5301372</v>
      </c>
      <c r="B250" s="91">
        <v>1</v>
      </c>
    </row>
    <row r="251" spans="1:2" ht="15" customHeight="1">
      <c r="A251" s="26">
        <v>5301373</v>
      </c>
      <c r="B251" s="91">
        <v>0</v>
      </c>
    </row>
    <row r="252" spans="1:2" ht="15" customHeight="1">
      <c r="A252" s="26">
        <v>5301374</v>
      </c>
      <c r="B252" s="91">
        <v>2</v>
      </c>
    </row>
    <row r="253" spans="1:2" ht="15" customHeight="1">
      <c r="A253" s="26">
        <v>5301402</v>
      </c>
      <c r="B253" s="91">
        <v>1</v>
      </c>
    </row>
    <row r="254" spans="1:2" ht="15" customHeight="1">
      <c r="A254" s="26">
        <v>5301403</v>
      </c>
      <c r="B254" s="91">
        <v>0</v>
      </c>
    </row>
    <row r="255" spans="1:2" ht="15" customHeight="1">
      <c r="A255" s="26">
        <v>5301404</v>
      </c>
      <c r="B255" s="91">
        <v>1</v>
      </c>
    </row>
    <row r="256" spans="1:2" ht="15" customHeight="1">
      <c r="A256" s="26">
        <v>5301405</v>
      </c>
      <c r="B256" s="91">
        <v>2</v>
      </c>
    </row>
    <row r="257" spans="1:2" ht="15" customHeight="1">
      <c r="A257" s="26">
        <v>5301408</v>
      </c>
      <c r="B257" s="91">
        <v>0</v>
      </c>
    </row>
    <row r="258" spans="1:2" ht="15" customHeight="1">
      <c r="A258" s="26">
        <v>5301409</v>
      </c>
      <c r="B258" s="91">
        <v>1</v>
      </c>
    </row>
    <row r="259" spans="1:2" ht="15" customHeight="1">
      <c r="A259" s="26">
        <v>5301410</v>
      </c>
      <c r="B259" s="91">
        <v>2</v>
      </c>
    </row>
    <row r="260" spans="1:2" ht="15" customHeight="1">
      <c r="A260" s="26">
        <v>5301411</v>
      </c>
      <c r="B260" s="91">
        <v>1</v>
      </c>
    </row>
    <row r="261" spans="1:2" ht="15" customHeight="1">
      <c r="A261" s="26">
        <v>5301412</v>
      </c>
      <c r="B261" s="91">
        <v>0</v>
      </c>
    </row>
    <row r="262" spans="1:2" ht="15" customHeight="1">
      <c r="A262" s="26">
        <v>5301413</v>
      </c>
      <c r="B262" s="91">
        <v>1</v>
      </c>
    </row>
    <row r="263" spans="1:2" ht="15" customHeight="1">
      <c r="A263" s="26">
        <v>5205206</v>
      </c>
      <c r="B263" s="91">
        <v>2</v>
      </c>
    </row>
    <row r="264" spans="1:2" ht="15" customHeight="1">
      <c r="A264" s="26">
        <v>5305209</v>
      </c>
      <c r="B264" s="91">
        <v>1</v>
      </c>
    </row>
    <row r="265" spans="1:2" ht="15" customHeight="1">
      <c r="A265" s="26">
        <v>5305210</v>
      </c>
      <c r="B265" s="91">
        <v>1</v>
      </c>
    </row>
    <row r="266" spans="1:2" ht="15" customHeight="1">
      <c r="A266" s="26">
        <v>5305211</v>
      </c>
      <c r="B266" s="91">
        <v>1</v>
      </c>
    </row>
    <row r="267" spans="1:2" ht="15" customHeight="1">
      <c r="A267" s="26">
        <v>5205266</v>
      </c>
      <c r="B267" s="91">
        <v>0</v>
      </c>
    </row>
    <row r="268" spans="1:2" ht="15" customHeight="1">
      <c r="A268" s="26">
        <v>5205267</v>
      </c>
      <c r="B268" s="91">
        <v>0</v>
      </c>
    </row>
    <row r="269" spans="1:2" ht="15" customHeight="1">
      <c r="A269" s="26">
        <v>5205269</v>
      </c>
      <c r="B269" s="91">
        <v>0</v>
      </c>
    </row>
    <row r="270" spans="1:2" ht="15" customHeight="1">
      <c r="A270" s="26">
        <v>5205270</v>
      </c>
      <c r="B270" s="91">
        <v>2</v>
      </c>
    </row>
    <row r="271" spans="1:2" ht="15" customHeight="1">
      <c r="A271" s="26">
        <v>5205357</v>
      </c>
      <c r="B271" s="91">
        <v>0</v>
      </c>
    </row>
    <row r="272" spans="1:2" ht="15" customHeight="1">
      <c r="A272" s="26">
        <v>5205273</v>
      </c>
      <c r="B272" s="91">
        <v>2</v>
      </c>
    </row>
    <row r="273" spans="1:2" ht="15" customHeight="1">
      <c r="A273" s="26">
        <v>5305274</v>
      </c>
      <c r="B273" s="91">
        <v>2</v>
      </c>
    </row>
    <row r="274" spans="1:2" ht="15" customHeight="1">
      <c r="A274" s="26">
        <v>5305275</v>
      </c>
      <c r="B274" s="91">
        <v>0</v>
      </c>
    </row>
    <row r="275" spans="1:2" ht="15" customHeight="1">
      <c r="A275" s="26">
        <v>5305278</v>
      </c>
      <c r="B275" s="91">
        <v>0</v>
      </c>
    </row>
    <row r="276" spans="1:2" ht="15" customHeight="1">
      <c r="A276" s="26">
        <v>5305414</v>
      </c>
      <c r="B276" s="91">
        <v>2</v>
      </c>
    </row>
    <row r="277" spans="1:2" ht="15" customHeight="1">
      <c r="A277" s="26">
        <v>5205268</v>
      </c>
      <c r="B277" s="91">
        <v>2</v>
      </c>
    </row>
    <row r="278" spans="1:2" ht="15" customHeight="1">
      <c r="A278" s="26">
        <v>5205358</v>
      </c>
      <c r="B278" s="91">
        <v>2</v>
      </c>
    </row>
    <row r="279" spans="1:2" ht="15" customHeight="1">
      <c r="A279" s="26">
        <v>5205359</v>
      </c>
      <c r="B279" s="91">
        <v>2</v>
      </c>
    </row>
    <row r="280" spans="1:2" ht="15" customHeight="1">
      <c r="A280" s="26">
        <v>5205344</v>
      </c>
      <c r="B280" s="91">
        <v>2</v>
      </c>
    </row>
    <row r="281" spans="1:2" ht="15" customHeight="1">
      <c r="A281" s="26">
        <v>5205323</v>
      </c>
      <c r="B281" s="91">
        <v>2</v>
      </c>
    </row>
    <row r="282" spans="1:2" ht="15" customHeight="1">
      <c r="A282" s="26">
        <v>5305345</v>
      </c>
      <c r="B282" s="91">
        <v>0</v>
      </c>
    </row>
    <row r="283" spans="1:2" ht="15" customHeight="1">
      <c r="A283" s="26">
        <v>5305346</v>
      </c>
      <c r="B283" s="91">
        <v>1</v>
      </c>
    </row>
    <row r="284" spans="1:2" ht="15" customHeight="1">
      <c r="A284" s="26">
        <v>5305711</v>
      </c>
      <c r="B284" s="91">
        <v>1</v>
      </c>
    </row>
    <row r="285" spans="1:2" ht="15" customHeight="1">
      <c r="A285" s="26">
        <v>5305710</v>
      </c>
      <c r="B285" s="91">
        <v>1</v>
      </c>
    </row>
    <row r="286" spans="1:2" ht="15" customHeight="1">
      <c r="A286" s="26">
        <v>5205349</v>
      </c>
      <c r="B286" s="91">
        <v>2</v>
      </c>
    </row>
    <row r="287" spans="1:2" ht="15" customHeight="1">
      <c r="A287" s="26">
        <v>5305350</v>
      </c>
      <c r="B287" s="91">
        <v>0</v>
      </c>
    </row>
    <row r="288" spans="1:2" ht="15" customHeight="1">
      <c r="A288" s="26">
        <v>5305351</v>
      </c>
      <c r="B288" s="91">
        <v>2</v>
      </c>
    </row>
    <row r="289" spans="1:2" ht="15" customHeight="1">
      <c r="A289" s="26">
        <v>5305330</v>
      </c>
      <c r="B289" s="91">
        <v>1</v>
      </c>
    </row>
    <row r="290" spans="1:2" ht="15" customHeight="1">
      <c r="A290" s="26">
        <v>5305331</v>
      </c>
      <c r="B290" s="91">
        <v>1</v>
      </c>
    </row>
    <row r="291" spans="1:2" ht="15" customHeight="1">
      <c r="A291" s="26">
        <v>5305332</v>
      </c>
      <c r="B291" s="91">
        <v>1</v>
      </c>
    </row>
    <row r="292" spans="1:2" ht="15" customHeight="1">
      <c r="A292" s="26">
        <v>5205333</v>
      </c>
      <c r="B292" s="91">
        <v>2</v>
      </c>
    </row>
    <row r="293" spans="1:2" ht="15" customHeight="1">
      <c r="A293" s="26">
        <v>5205296</v>
      </c>
      <c r="B293" s="91">
        <v>1</v>
      </c>
    </row>
    <row r="294" spans="1:2" ht="15" customHeight="1">
      <c r="A294" s="26">
        <v>5202422</v>
      </c>
      <c r="B294" s="91">
        <v>2</v>
      </c>
    </row>
    <row r="295" spans="1:2" ht="15" customHeight="1">
      <c r="A295" s="26">
        <v>5202423</v>
      </c>
      <c r="B295" s="91">
        <v>5</v>
      </c>
    </row>
    <row r="296" spans="1:2" ht="15" customHeight="1">
      <c r="A296" s="26">
        <v>5202424</v>
      </c>
      <c r="B296" s="91">
        <v>2</v>
      </c>
    </row>
    <row r="297" spans="1:2" ht="15" customHeight="1">
      <c r="A297" s="26">
        <v>5202425</v>
      </c>
      <c r="B297" s="91">
        <v>5</v>
      </c>
    </row>
    <row r="298" spans="1:2" ht="15" customHeight="1">
      <c r="A298" s="26">
        <v>5202426</v>
      </c>
      <c r="B298" s="91">
        <v>5</v>
      </c>
    </row>
    <row r="299" spans="1:2" ht="15" customHeight="1">
      <c r="A299" s="26">
        <v>5202427</v>
      </c>
      <c r="B299" s="91">
        <v>5</v>
      </c>
    </row>
    <row r="300" spans="1:2" ht="15" customHeight="1">
      <c r="A300" s="26">
        <v>5202428</v>
      </c>
      <c r="B300" s="91">
        <v>3</v>
      </c>
    </row>
    <row r="301" spans="1:2" ht="15" customHeight="1">
      <c r="A301" s="26">
        <v>5302429</v>
      </c>
      <c r="B301" s="91">
        <v>3</v>
      </c>
    </row>
    <row r="302" spans="1:2" ht="15" customHeight="1">
      <c r="A302" s="26">
        <v>5302430</v>
      </c>
      <c r="B302" s="91">
        <v>3</v>
      </c>
    </row>
    <row r="303" spans="1:2" ht="15" customHeight="1">
      <c r="A303" s="26">
        <v>5302431</v>
      </c>
      <c r="B303" s="91">
        <v>1</v>
      </c>
    </row>
    <row r="304" spans="1:2" ht="15" customHeight="1">
      <c r="A304" s="26">
        <v>5302432</v>
      </c>
      <c r="B304" s="91">
        <v>0</v>
      </c>
    </row>
    <row r="305" spans="1:2" ht="15" customHeight="1">
      <c r="A305" s="26">
        <v>5302433</v>
      </c>
      <c r="B305" s="91">
        <v>5</v>
      </c>
    </row>
    <row r="306" spans="1:2" ht="15" customHeight="1">
      <c r="A306" s="26">
        <v>5302434</v>
      </c>
      <c r="B306" s="91">
        <v>1</v>
      </c>
    </row>
    <row r="307" spans="1:2" ht="15" customHeight="1">
      <c r="A307" s="26">
        <v>5302435</v>
      </c>
      <c r="B307" s="91">
        <v>2</v>
      </c>
    </row>
    <row r="308" spans="1:2" ht="15" customHeight="1">
      <c r="A308" s="26">
        <v>5302436</v>
      </c>
      <c r="B308" s="91">
        <v>4</v>
      </c>
    </row>
    <row r="309" spans="1:2" ht="15" customHeight="1">
      <c r="A309" s="26">
        <v>5302437</v>
      </c>
      <c r="B309" s="91">
        <v>1</v>
      </c>
    </row>
    <row r="310" spans="1:2" ht="15" customHeight="1">
      <c r="A310" s="26">
        <v>5302438</v>
      </c>
      <c r="B310" s="91">
        <v>2</v>
      </c>
    </row>
    <row r="311" spans="1:2" ht="15" customHeight="1">
      <c r="A311" s="26">
        <v>5302439</v>
      </c>
      <c r="B311" s="91">
        <v>4</v>
      </c>
    </row>
    <row r="312" spans="1:2" ht="15" customHeight="1">
      <c r="A312" s="26">
        <v>5302440</v>
      </c>
      <c r="B312" s="91">
        <v>1</v>
      </c>
    </row>
    <row r="313" spans="1:2" ht="15" customHeight="1">
      <c r="A313" s="26">
        <v>5302441</v>
      </c>
      <c r="B313" s="91">
        <v>2</v>
      </c>
    </row>
    <row r="314" spans="1:2" ht="15" customHeight="1">
      <c r="A314" s="26">
        <v>5302442</v>
      </c>
      <c r="B314" s="91">
        <v>3</v>
      </c>
    </row>
    <row r="315" spans="1:2" ht="15" customHeight="1">
      <c r="A315" s="26">
        <v>5201452</v>
      </c>
      <c r="B315" s="91">
        <v>3</v>
      </c>
    </row>
    <row r="316" spans="1:2" ht="15" customHeight="1">
      <c r="A316" s="26">
        <v>5201449</v>
      </c>
      <c r="B316" s="91">
        <v>3</v>
      </c>
    </row>
    <row r="317" spans="1:2" ht="15" customHeight="1">
      <c r="A317" s="26">
        <v>5201450</v>
      </c>
      <c r="B317" s="91">
        <v>2</v>
      </c>
    </row>
    <row r="318" spans="1:2" ht="15" customHeight="1">
      <c r="A318" s="26">
        <v>5201451</v>
      </c>
      <c r="B318" s="91">
        <v>3</v>
      </c>
    </row>
    <row r="319" spans="1:2" ht="15" customHeight="1">
      <c r="A319" s="26">
        <v>5205204</v>
      </c>
      <c r="B319" s="91">
        <v>1</v>
      </c>
    </row>
    <row r="320" spans="1:2" ht="15" customHeight="1">
      <c r="A320" s="26">
        <v>5305313</v>
      </c>
      <c r="B320" s="91">
        <v>1</v>
      </c>
    </row>
    <row r="321" spans="1:2" ht="15" customHeight="1">
      <c r="A321" s="26">
        <v>5305314</v>
      </c>
      <c r="B321" s="91">
        <v>1</v>
      </c>
    </row>
    <row r="322" spans="1:2" ht="15" customHeight="1">
      <c r="A322" s="26">
        <v>5205487</v>
      </c>
      <c r="B322" s="91">
        <v>0</v>
      </c>
    </row>
    <row r="323" spans="1:2" ht="15" customHeight="1">
      <c r="A323" s="26">
        <v>5205231</v>
      </c>
      <c r="B323" s="91">
        <v>2</v>
      </c>
    </row>
    <row r="324" spans="1:2" ht="15" customHeight="1">
      <c r="A324" s="26">
        <v>5205232</v>
      </c>
      <c r="B324" s="91">
        <v>2</v>
      </c>
    </row>
    <row r="325" spans="1:2" ht="15" customHeight="1">
      <c r="A325" s="26">
        <v>5205361</v>
      </c>
      <c r="B325" s="91">
        <v>2</v>
      </c>
    </row>
    <row r="326" spans="1:2" ht="15" customHeight="1">
      <c r="A326" s="26">
        <v>5305235</v>
      </c>
      <c r="B326" s="91">
        <v>1</v>
      </c>
    </row>
    <row r="327" spans="1:2" ht="15" customHeight="1">
      <c r="A327" s="26">
        <v>5305264</v>
      </c>
      <c r="B327" s="91">
        <v>1</v>
      </c>
    </row>
    <row r="328" spans="1:2" ht="15" customHeight="1">
      <c r="A328" s="26">
        <v>5305265</v>
      </c>
      <c r="B328" s="91">
        <v>1</v>
      </c>
    </row>
    <row r="329" spans="1:2" ht="15" customHeight="1">
      <c r="A329" s="26">
        <v>5205237</v>
      </c>
      <c r="B329" s="91">
        <v>2</v>
      </c>
    </row>
    <row r="330" spans="1:2" ht="15" customHeight="1">
      <c r="A330" s="26">
        <v>5205220</v>
      </c>
      <c r="B330" s="91">
        <v>2</v>
      </c>
    </row>
    <row r="331" spans="1:2" ht="15" customHeight="1">
      <c r="A331" s="26">
        <v>5305280</v>
      </c>
      <c r="B331" s="91">
        <v>1</v>
      </c>
    </row>
    <row r="332" spans="1:2" ht="15" customHeight="1">
      <c r="A332" s="26">
        <v>5305281</v>
      </c>
      <c r="B332" s="91">
        <v>1</v>
      </c>
    </row>
    <row r="333" spans="1:2" ht="15" customHeight="1">
      <c r="A333" s="26">
        <v>5205222</v>
      </c>
      <c r="B333" s="91">
        <v>2</v>
      </c>
    </row>
    <row r="334" spans="1:2" ht="15" customHeight="1">
      <c r="A334" s="26">
        <v>5205224</v>
      </c>
      <c r="B334" s="91">
        <v>2</v>
      </c>
    </row>
    <row r="335" spans="1:2" ht="15" customHeight="1">
      <c r="A335" s="26">
        <v>5205316</v>
      </c>
      <c r="B335" s="91">
        <v>2</v>
      </c>
    </row>
    <row r="336" spans="1:2" ht="15" customHeight="1">
      <c r="A336" s="26">
        <v>5205205</v>
      </c>
      <c r="B336" s="91">
        <v>1</v>
      </c>
    </row>
    <row r="337" spans="1:2" ht="15" customHeight="1">
      <c r="A337" s="26">
        <v>5205302</v>
      </c>
      <c r="B337" s="91">
        <v>2</v>
      </c>
    </row>
    <row r="338" spans="1:2" ht="15" customHeight="1">
      <c r="A338" s="26">
        <v>5201459</v>
      </c>
      <c r="B338" s="91">
        <v>4</v>
      </c>
    </row>
    <row r="339" spans="1:2" ht="15" customHeight="1">
      <c r="A339" s="26">
        <v>5201443</v>
      </c>
      <c r="B339" s="91">
        <v>3</v>
      </c>
    </row>
    <row r="340" spans="1:2" ht="15" customHeight="1">
      <c r="A340" s="26">
        <v>5201444</v>
      </c>
      <c r="B340" s="91">
        <v>1</v>
      </c>
    </row>
    <row r="341" spans="1:2" ht="15" customHeight="1">
      <c r="A341" s="26">
        <v>5201454</v>
      </c>
      <c r="B341" s="91">
        <v>2</v>
      </c>
    </row>
    <row r="342" spans="1:2" ht="15" customHeight="1">
      <c r="A342" s="26">
        <v>5301460</v>
      </c>
      <c r="B342" s="91">
        <v>1</v>
      </c>
    </row>
    <row r="343" spans="1:2" ht="15" customHeight="1">
      <c r="A343" s="26">
        <v>5301461</v>
      </c>
      <c r="B343" s="91">
        <v>1</v>
      </c>
    </row>
    <row r="344" spans="1:2" ht="15" customHeight="1">
      <c r="A344" s="26">
        <v>5301462</v>
      </c>
      <c r="B344" s="91">
        <v>1</v>
      </c>
    </row>
    <row r="345" spans="1:2" ht="15" customHeight="1">
      <c r="A345" s="26">
        <v>5301445</v>
      </c>
      <c r="B345" s="91">
        <v>2</v>
      </c>
    </row>
    <row r="346" spans="1:2" ht="15" customHeight="1">
      <c r="A346" s="26">
        <v>5301446</v>
      </c>
      <c r="B346" s="91">
        <v>2</v>
      </c>
    </row>
    <row r="347" spans="1:2" ht="15" customHeight="1">
      <c r="A347" s="26">
        <v>5301447</v>
      </c>
      <c r="B347" s="91">
        <v>1</v>
      </c>
    </row>
    <row r="348" spans="1:2" ht="15" customHeight="1">
      <c r="A348" s="26">
        <v>5301448</v>
      </c>
      <c r="B348" s="91">
        <v>0</v>
      </c>
    </row>
    <row r="349" spans="1:2" ht="15" customHeight="1">
      <c r="A349" s="26">
        <v>5301484</v>
      </c>
      <c r="B349" s="91">
        <v>1</v>
      </c>
    </row>
    <row r="350" spans="1:2" ht="15" customHeight="1">
      <c r="A350" s="26">
        <v>5301513</v>
      </c>
      <c r="B350" s="91">
        <v>1</v>
      </c>
    </row>
    <row r="351" spans="1:2" ht="15" customHeight="1">
      <c r="A351" s="26">
        <v>5301486</v>
      </c>
      <c r="B351" s="91">
        <v>1</v>
      </c>
    </row>
    <row r="352" spans="1:2" ht="15" customHeight="1">
      <c r="A352" s="26">
        <v>5201463</v>
      </c>
      <c r="B352" s="91">
        <v>3</v>
      </c>
    </row>
    <row r="353" spans="1:2" ht="15" customHeight="1">
      <c r="A353" s="26">
        <v>5301549</v>
      </c>
      <c r="B353" s="91">
        <v>1</v>
      </c>
    </row>
    <row r="354" spans="1:2" ht="15" customHeight="1">
      <c r="A354" s="26">
        <v>5301550</v>
      </c>
      <c r="B354" s="91">
        <v>1</v>
      </c>
    </row>
    <row r="355" spans="1:2" ht="15" customHeight="1">
      <c r="A355" s="26">
        <v>5301551</v>
      </c>
      <c r="B355" s="91">
        <v>1</v>
      </c>
    </row>
    <row r="356" spans="1:2" ht="15" customHeight="1">
      <c r="A356" s="26">
        <v>5301552</v>
      </c>
      <c r="B356" s="91">
        <v>1</v>
      </c>
    </row>
    <row r="357" spans="1:2" ht="15" customHeight="1">
      <c r="A357" s="26">
        <v>5207680</v>
      </c>
      <c r="B357" s="91">
        <v>0</v>
      </c>
    </row>
    <row r="358" spans="1:2" ht="15" customHeight="1">
      <c r="A358" s="26">
        <v>5205674</v>
      </c>
      <c r="B358" s="91">
        <v>2</v>
      </c>
    </row>
    <row r="359" spans="1:2" ht="15" customHeight="1">
      <c r="A359" s="26">
        <v>5205675</v>
      </c>
      <c r="B359" s="91">
        <v>2</v>
      </c>
    </row>
    <row r="360" spans="1:2" ht="15" customHeight="1">
      <c r="A360" s="26">
        <v>5305352</v>
      </c>
      <c r="B360" s="91">
        <v>0</v>
      </c>
    </row>
    <row r="361" spans="1:2" ht="15" customHeight="1">
      <c r="A361" s="26">
        <v>5305353</v>
      </c>
      <c r="B361" s="91">
        <v>1</v>
      </c>
    </row>
    <row r="362" spans="1:2" ht="15" customHeight="1">
      <c r="A362" s="26">
        <v>5305677</v>
      </c>
      <c r="B362" s="91">
        <v>0</v>
      </c>
    </row>
    <row r="363" spans="1:2" ht="15" customHeight="1">
      <c r="A363" s="26">
        <v>5203607</v>
      </c>
      <c r="B363" s="91">
        <v>1</v>
      </c>
    </row>
    <row r="364" spans="1:2" ht="15" customHeight="1">
      <c r="A364" s="26">
        <v>5305712</v>
      </c>
      <c r="B364" s="91">
        <v>1</v>
      </c>
    </row>
    <row r="365" spans="1:2" ht="15" customHeight="1">
      <c r="A365" s="26">
        <v>5301537</v>
      </c>
      <c r="B365" s="94">
        <v>4</v>
      </c>
    </row>
    <row r="366" spans="1:2">
      <c r="A366" s="90">
        <v>5301538</v>
      </c>
      <c r="B366" s="91">
        <v>3</v>
      </c>
    </row>
    <row r="367" spans="1:2">
      <c r="A367" s="90">
        <v>5301521</v>
      </c>
      <c r="B367" s="91">
        <v>1</v>
      </c>
    </row>
    <row r="368" spans="1:2">
      <c r="A368" s="90">
        <v>5301522</v>
      </c>
      <c r="B368" s="91">
        <v>1</v>
      </c>
    </row>
    <row r="369" spans="1:2">
      <c r="A369" s="90">
        <v>5301528</v>
      </c>
      <c r="B369" s="91">
        <v>1</v>
      </c>
    </row>
    <row r="370" spans="1:2">
      <c r="A370" s="90">
        <v>5301529</v>
      </c>
      <c r="B370" s="91">
        <v>1</v>
      </c>
    </row>
    <row r="371" spans="1:2">
      <c r="A371" s="90">
        <v>5301530</v>
      </c>
      <c r="B371" s="91">
        <v>1</v>
      </c>
    </row>
    <row r="372" spans="1:2">
      <c r="A372" s="91">
        <v>5203831</v>
      </c>
      <c r="B372" s="91">
        <v>1</v>
      </c>
    </row>
    <row r="373" spans="1:2">
      <c r="A373" s="91">
        <v>5301456</v>
      </c>
      <c r="B373" s="91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381"/>
  <sheetViews>
    <sheetView topLeftCell="A367" workbookViewId="0">
      <selection activeCell="D385" sqref="D385"/>
    </sheetView>
  </sheetViews>
  <sheetFormatPr baseColWidth="10" defaultRowHeight="15"/>
  <sheetData>
    <row r="1" spans="1:2" ht="45">
      <c r="A1" s="34" t="s">
        <v>32</v>
      </c>
      <c r="B1" s="34" t="s">
        <v>100</v>
      </c>
    </row>
    <row r="2" spans="1:2">
      <c r="A2" s="26">
        <v>3374066</v>
      </c>
      <c r="B2" s="11">
        <v>42</v>
      </c>
    </row>
    <row r="3" spans="1:2">
      <c r="A3" s="26">
        <v>3374110</v>
      </c>
      <c r="B3" s="11">
        <v>40</v>
      </c>
    </row>
    <row r="4" spans="1:2">
      <c r="A4" s="26">
        <v>3374099</v>
      </c>
      <c r="B4" s="11">
        <v>30</v>
      </c>
    </row>
    <row r="5" spans="1:2">
      <c r="A5" s="26">
        <v>3168633</v>
      </c>
      <c r="B5" s="11">
        <v>55</v>
      </c>
    </row>
    <row r="6" spans="1:2">
      <c r="A6" s="26">
        <v>3168654</v>
      </c>
      <c r="B6" s="11">
        <v>60</v>
      </c>
    </row>
    <row r="7" spans="1:2">
      <c r="A7" s="26">
        <v>3168804</v>
      </c>
      <c r="B7" s="11">
        <v>60</v>
      </c>
    </row>
    <row r="8" spans="1:2">
      <c r="A8" s="26">
        <v>3168797</v>
      </c>
      <c r="B8" s="11">
        <v>60</v>
      </c>
    </row>
    <row r="9" spans="1:2">
      <c r="A9" s="26">
        <v>3374088</v>
      </c>
      <c r="B9" s="11">
        <v>55</v>
      </c>
    </row>
    <row r="10" spans="1:2">
      <c r="A10" s="26">
        <v>3373461</v>
      </c>
      <c r="B10" s="11">
        <v>60</v>
      </c>
    </row>
    <row r="11" spans="1:2">
      <c r="A11" s="26">
        <v>3373472</v>
      </c>
      <c r="B11" s="11">
        <v>39</v>
      </c>
    </row>
    <row r="12" spans="1:2">
      <c r="A12" s="26">
        <v>3168634</v>
      </c>
      <c r="B12" s="11">
        <v>50</v>
      </c>
    </row>
    <row r="13" spans="1:2">
      <c r="A13" s="26">
        <v>3168468</v>
      </c>
      <c r="B13" s="11">
        <v>50</v>
      </c>
    </row>
    <row r="14" spans="1:2">
      <c r="A14" s="26">
        <v>3168469</v>
      </c>
      <c r="B14" s="11">
        <v>500</v>
      </c>
    </row>
    <row r="15" spans="1:2">
      <c r="A15" s="26">
        <v>3168470</v>
      </c>
      <c r="B15" s="11">
        <v>43</v>
      </c>
    </row>
    <row r="16" spans="1:2">
      <c r="A16" s="26">
        <v>3375298</v>
      </c>
      <c r="B16" s="11">
        <v>62</v>
      </c>
    </row>
    <row r="17" spans="1:2">
      <c r="A17" s="26">
        <v>3168755</v>
      </c>
      <c r="B17" s="11">
        <v>700</v>
      </c>
    </row>
    <row r="18" spans="1:2">
      <c r="A18" s="26">
        <v>3168756</v>
      </c>
      <c r="B18" s="11">
        <v>60</v>
      </c>
    </row>
    <row r="19" spans="1:2">
      <c r="A19" s="26">
        <v>3168757</v>
      </c>
      <c r="B19" s="11">
        <v>93</v>
      </c>
    </row>
    <row r="20" spans="1:2">
      <c r="A20" s="26">
        <v>3373362</v>
      </c>
      <c r="B20" s="11">
        <v>40</v>
      </c>
    </row>
    <row r="21" spans="1:2">
      <c r="A21" s="26">
        <v>3373351</v>
      </c>
      <c r="B21" s="11">
        <v>40</v>
      </c>
    </row>
    <row r="22" spans="1:2">
      <c r="A22" s="26">
        <v>3168490</v>
      </c>
      <c r="B22" s="11">
        <v>58</v>
      </c>
    </row>
    <row r="23" spans="1:2">
      <c r="A23" s="26">
        <v>3168874</v>
      </c>
      <c r="B23" s="11">
        <v>65</v>
      </c>
    </row>
    <row r="24" spans="1:2">
      <c r="A24" s="26">
        <v>3168489</v>
      </c>
      <c r="B24" s="11">
        <v>47</v>
      </c>
    </row>
    <row r="25" spans="1:2">
      <c r="A25" s="26">
        <v>3168885</v>
      </c>
      <c r="B25" s="11">
        <v>50</v>
      </c>
    </row>
    <row r="26" spans="1:2">
      <c r="A26" s="26">
        <v>3168886</v>
      </c>
      <c r="B26" s="11">
        <v>300</v>
      </c>
    </row>
    <row r="27" spans="1:2">
      <c r="A27" s="26">
        <v>3168887</v>
      </c>
      <c r="B27" s="11">
        <v>50</v>
      </c>
    </row>
    <row r="28" spans="1:2">
      <c r="A28" s="26">
        <v>3378708</v>
      </c>
      <c r="B28" s="11">
        <v>65</v>
      </c>
    </row>
    <row r="29" spans="1:2">
      <c r="A29" s="26">
        <v>3168888</v>
      </c>
      <c r="B29" s="11">
        <v>40</v>
      </c>
    </row>
    <row r="30" spans="1:2">
      <c r="A30" s="26">
        <v>5202067</v>
      </c>
      <c r="B30" s="11">
        <v>62</v>
      </c>
    </row>
    <row r="31" spans="1:2">
      <c r="A31" s="26">
        <v>3373450</v>
      </c>
      <c r="B31" s="11">
        <v>40</v>
      </c>
    </row>
    <row r="32" spans="1:2">
      <c r="A32" s="26">
        <v>5202135</v>
      </c>
      <c r="B32" s="11">
        <v>62</v>
      </c>
    </row>
    <row r="33" spans="1:2">
      <c r="A33" s="26">
        <v>5202137</v>
      </c>
      <c r="B33" s="11">
        <v>26</v>
      </c>
    </row>
    <row r="34" spans="1:2">
      <c r="A34" s="26">
        <v>5202139</v>
      </c>
      <c r="B34" s="11">
        <v>28</v>
      </c>
    </row>
    <row r="35" spans="1:2">
      <c r="A35" s="26">
        <v>5202140</v>
      </c>
      <c r="B35" s="11">
        <v>40</v>
      </c>
    </row>
    <row r="36" spans="1:2">
      <c r="A36" s="26">
        <v>5202141</v>
      </c>
      <c r="B36" s="11">
        <v>32</v>
      </c>
    </row>
    <row r="37" spans="1:2">
      <c r="A37" s="26">
        <v>5302142</v>
      </c>
      <c r="B37" s="11">
        <v>60</v>
      </c>
    </row>
    <row r="38" spans="1:2">
      <c r="A38" s="26">
        <v>5302143</v>
      </c>
      <c r="B38" s="11">
        <v>150</v>
      </c>
    </row>
    <row r="39" spans="1:2">
      <c r="A39" s="26">
        <v>5302144</v>
      </c>
      <c r="B39" s="11">
        <v>40</v>
      </c>
    </row>
    <row r="40" spans="1:2">
      <c r="A40" s="26">
        <v>5202146</v>
      </c>
      <c r="B40" s="11">
        <v>40</v>
      </c>
    </row>
    <row r="41" spans="1:2">
      <c r="A41" s="26">
        <v>5202147</v>
      </c>
      <c r="B41" s="11">
        <v>50</v>
      </c>
    </row>
    <row r="42" spans="1:2">
      <c r="A42" s="26">
        <v>5202178</v>
      </c>
      <c r="B42" s="11">
        <v>35</v>
      </c>
    </row>
    <row r="43" spans="1:2">
      <c r="A43" s="26">
        <v>3373406</v>
      </c>
      <c r="B43" s="11">
        <v>30</v>
      </c>
    </row>
    <row r="44" spans="1:2">
      <c r="A44" s="26">
        <v>3168471</v>
      </c>
      <c r="B44" s="11">
        <v>30</v>
      </c>
    </row>
    <row r="45" spans="1:2">
      <c r="A45" s="26">
        <v>3168472</v>
      </c>
      <c r="B45" s="11">
        <v>30</v>
      </c>
    </row>
    <row r="46" spans="1:2">
      <c r="A46" s="26">
        <v>3168473</v>
      </c>
      <c r="B46" s="11">
        <v>30</v>
      </c>
    </row>
    <row r="47" spans="1:2">
      <c r="A47" s="26">
        <v>5302174</v>
      </c>
      <c r="B47" s="11">
        <v>35</v>
      </c>
    </row>
    <row r="48" spans="1:2">
      <c r="A48" s="26">
        <v>5302133</v>
      </c>
      <c r="B48" s="11">
        <v>40</v>
      </c>
    </row>
    <row r="49" spans="1:2">
      <c r="A49" s="26">
        <v>5302131</v>
      </c>
      <c r="B49" s="11">
        <v>50</v>
      </c>
    </row>
    <row r="50" spans="1:2">
      <c r="A50" s="26">
        <v>5302132</v>
      </c>
      <c r="B50" s="11">
        <v>30</v>
      </c>
    </row>
    <row r="51" spans="1:2">
      <c r="A51" s="26">
        <v>3375331</v>
      </c>
      <c r="B51" s="11">
        <v>32</v>
      </c>
    </row>
    <row r="52" spans="1:2">
      <c r="A52" s="26">
        <v>5202422</v>
      </c>
      <c r="B52" s="11">
        <v>54</v>
      </c>
    </row>
    <row r="53" spans="1:2">
      <c r="A53" s="26">
        <v>5202423</v>
      </c>
      <c r="B53" s="11">
        <v>55</v>
      </c>
    </row>
    <row r="54" spans="1:2">
      <c r="A54" s="26">
        <v>5202424</v>
      </c>
      <c r="B54" s="11">
        <v>30</v>
      </c>
    </row>
    <row r="55" spans="1:2">
      <c r="A55" s="26">
        <v>5202425</v>
      </c>
      <c r="B55" s="11">
        <v>42</v>
      </c>
    </row>
    <row r="56" spans="1:2">
      <c r="A56" s="26">
        <v>5202426</v>
      </c>
      <c r="B56" s="11">
        <v>30</v>
      </c>
    </row>
    <row r="57" spans="1:2">
      <c r="A57" s="26">
        <v>5202427</v>
      </c>
      <c r="B57" s="11">
        <v>21</v>
      </c>
    </row>
    <row r="58" spans="1:2">
      <c r="A58" s="26">
        <v>5202428</v>
      </c>
      <c r="B58" s="11">
        <v>35</v>
      </c>
    </row>
    <row r="59" spans="1:2">
      <c r="A59" s="26">
        <v>5302429</v>
      </c>
      <c r="B59" s="11">
        <v>25</v>
      </c>
    </row>
    <row r="60" spans="1:2">
      <c r="A60" s="26">
        <v>5302430</v>
      </c>
      <c r="B60" s="11">
        <v>40</v>
      </c>
    </row>
    <row r="61" spans="1:2">
      <c r="A61" s="26">
        <v>5302431</v>
      </c>
      <c r="B61" s="11">
        <v>25</v>
      </c>
    </row>
    <row r="62" spans="1:2">
      <c r="A62" s="26">
        <v>5302432</v>
      </c>
      <c r="B62" s="11">
        <v>25</v>
      </c>
    </row>
    <row r="63" spans="1:2">
      <c r="A63" s="26">
        <v>5302433</v>
      </c>
      <c r="B63" s="11">
        <v>30</v>
      </c>
    </row>
    <row r="64" spans="1:2">
      <c r="A64" s="26">
        <v>5302434</v>
      </c>
      <c r="B64" s="11">
        <v>25</v>
      </c>
    </row>
    <row r="65" spans="1:2">
      <c r="A65" s="26">
        <v>5302435</v>
      </c>
      <c r="B65" s="11">
        <v>25</v>
      </c>
    </row>
    <row r="66" spans="1:2">
      <c r="A66" s="26">
        <v>5302436</v>
      </c>
      <c r="B66" s="11">
        <v>50</v>
      </c>
    </row>
    <row r="67" spans="1:2">
      <c r="A67" s="26">
        <v>5302437</v>
      </c>
      <c r="B67" s="11">
        <v>39</v>
      </c>
    </row>
    <row r="68" spans="1:2">
      <c r="A68" s="26">
        <v>5302438</v>
      </c>
      <c r="B68" s="11">
        <v>30</v>
      </c>
    </row>
    <row r="69" spans="1:2">
      <c r="A69" s="26">
        <v>5302439</v>
      </c>
      <c r="B69" s="11">
        <v>50</v>
      </c>
    </row>
    <row r="70" spans="1:2">
      <c r="A70" s="26">
        <v>5302440</v>
      </c>
      <c r="B70" s="11">
        <v>25</v>
      </c>
    </row>
    <row r="71" spans="1:2">
      <c r="A71" s="26">
        <v>5302441</v>
      </c>
      <c r="B71" s="11">
        <v>35</v>
      </c>
    </row>
    <row r="72" spans="1:2">
      <c r="A72" s="26">
        <v>5302442</v>
      </c>
      <c r="B72" s="11">
        <v>30</v>
      </c>
    </row>
    <row r="73" spans="1:2">
      <c r="A73" s="26">
        <v>5303041</v>
      </c>
      <c r="B73" s="11">
        <v>60</v>
      </c>
    </row>
    <row r="74" spans="1:2">
      <c r="A74" s="26">
        <v>5303042</v>
      </c>
      <c r="B74" s="11">
        <v>150</v>
      </c>
    </row>
    <row r="75" spans="1:2">
      <c r="A75" s="26">
        <v>5203044</v>
      </c>
      <c r="B75" s="11">
        <v>30</v>
      </c>
    </row>
    <row r="76" spans="1:2">
      <c r="A76" s="26">
        <v>5303107</v>
      </c>
      <c r="B76" s="11">
        <v>30</v>
      </c>
    </row>
    <row r="77" spans="1:2">
      <c r="A77" s="26">
        <v>5303108</v>
      </c>
      <c r="B77" s="11">
        <v>35</v>
      </c>
    </row>
    <row r="78" spans="1:2">
      <c r="A78" s="26">
        <v>5203109</v>
      </c>
      <c r="B78" s="11">
        <v>23</v>
      </c>
    </row>
    <row r="79" spans="1:2">
      <c r="A79" s="26">
        <v>5303149</v>
      </c>
      <c r="B79" s="11">
        <v>42</v>
      </c>
    </row>
    <row r="80" spans="1:2">
      <c r="A80" s="26">
        <v>5303104</v>
      </c>
      <c r="B80" s="11">
        <v>35</v>
      </c>
    </row>
    <row r="81" spans="1:2">
      <c r="A81" s="26">
        <v>5303105</v>
      </c>
      <c r="B81" s="11">
        <v>30</v>
      </c>
    </row>
    <row r="82" spans="1:2">
      <c r="A82" s="26">
        <v>5303106</v>
      </c>
      <c r="B82" s="11">
        <v>300</v>
      </c>
    </row>
    <row r="83" spans="1:2">
      <c r="A83" s="26">
        <v>5303150</v>
      </c>
      <c r="B83" s="11">
        <v>30</v>
      </c>
    </row>
    <row r="84" spans="1:2">
      <c r="A84" s="26">
        <v>5303096</v>
      </c>
      <c r="B84" s="11">
        <v>30</v>
      </c>
    </row>
    <row r="85" spans="1:2">
      <c r="A85" s="26">
        <v>5303097</v>
      </c>
      <c r="B85" s="11">
        <v>42</v>
      </c>
    </row>
    <row r="86" spans="1:2">
      <c r="A86" s="26">
        <v>5303098</v>
      </c>
      <c r="B86" s="11">
        <v>35</v>
      </c>
    </row>
    <row r="87" spans="1:2">
      <c r="A87" s="26">
        <v>5303176</v>
      </c>
      <c r="B87" s="11">
        <v>40</v>
      </c>
    </row>
    <row r="88" spans="1:2">
      <c r="A88" s="26">
        <v>5303175</v>
      </c>
      <c r="B88" s="11">
        <v>300</v>
      </c>
    </row>
    <row r="89" spans="1:2">
      <c r="A89" s="26">
        <v>5203113</v>
      </c>
      <c r="B89" s="11">
        <v>26</v>
      </c>
    </row>
    <row r="90" spans="1:2">
      <c r="A90" s="26">
        <v>5203118</v>
      </c>
      <c r="B90" s="11">
        <v>35</v>
      </c>
    </row>
    <row r="91" spans="1:2">
      <c r="A91" s="26">
        <v>5303122</v>
      </c>
      <c r="B91" s="11">
        <v>44</v>
      </c>
    </row>
    <row r="92" spans="1:2">
      <c r="A92" s="26">
        <v>5303123</v>
      </c>
      <c r="B92" s="11">
        <v>32</v>
      </c>
    </row>
    <row r="93" spans="1:2">
      <c r="A93" s="26">
        <v>5203124</v>
      </c>
      <c r="B93" s="11">
        <v>31</v>
      </c>
    </row>
    <row r="94" spans="1:2">
      <c r="A94" s="26">
        <v>5303125</v>
      </c>
      <c r="B94" s="11">
        <v>400</v>
      </c>
    </row>
    <row r="95" spans="1:2">
      <c r="A95" s="26">
        <v>5303126</v>
      </c>
      <c r="B95" s="11">
        <v>30</v>
      </c>
    </row>
    <row r="96" spans="1:2">
      <c r="A96" s="26">
        <v>5303127</v>
      </c>
      <c r="B96" s="11">
        <v>42</v>
      </c>
    </row>
    <row r="97" spans="1:2">
      <c r="A97" s="26">
        <v>5203121</v>
      </c>
      <c r="B97" s="11">
        <v>50</v>
      </c>
    </row>
    <row r="98" spans="1:2">
      <c r="A98" s="26">
        <v>5303043</v>
      </c>
      <c r="B98" s="11">
        <v>65</v>
      </c>
    </row>
    <row r="99" spans="1:2">
      <c r="A99" s="26">
        <v>5207198</v>
      </c>
      <c r="B99" s="11">
        <v>800</v>
      </c>
    </row>
    <row r="100" spans="1:2">
      <c r="A100" s="26">
        <v>5303111</v>
      </c>
      <c r="B100" s="11">
        <v>40</v>
      </c>
    </row>
    <row r="101" spans="1:2">
      <c r="A101" s="26">
        <v>5303112</v>
      </c>
      <c r="B101" s="11">
        <v>35</v>
      </c>
    </row>
    <row r="102" spans="1:2">
      <c r="A102" s="26">
        <v>5303033</v>
      </c>
      <c r="B102" s="11">
        <v>300</v>
      </c>
    </row>
    <row r="103" spans="1:2">
      <c r="A103" s="26">
        <v>5303034</v>
      </c>
      <c r="B103" s="11">
        <v>40</v>
      </c>
    </row>
    <row r="104" spans="1:2">
      <c r="A104" s="26">
        <v>5303035</v>
      </c>
      <c r="B104" s="11">
        <v>35</v>
      </c>
    </row>
    <row r="105" spans="1:2">
      <c r="A105" s="26">
        <v>5303036</v>
      </c>
      <c r="B105" s="11">
        <v>300</v>
      </c>
    </row>
    <row r="106" spans="1:2">
      <c r="A106" s="26">
        <v>5303037</v>
      </c>
      <c r="B106" s="11">
        <v>65</v>
      </c>
    </row>
    <row r="107" spans="1:2">
      <c r="A107" s="26">
        <v>5303038</v>
      </c>
      <c r="B107" s="11">
        <v>60</v>
      </c>
    </row>
    <row r="108" spans="1:2">
      <c r="A108" s="26">
        <v>5303119</v>
      </c>
      <c r="B108" s="11">
        <v>60</v>
      </c>
    </row>
    <row r="109" spans="1:2">
      <c r="A109" s="26">
        <v>5303120</v>
      </c>
      <c r="B109" s="11">
        <v>50</v>
      </c>
    </row>
    <row r="110" spans="1:2">
      <c r="A110" s="26">
        <v>5303039</v>
      </c>
      <c r="B110" s="11">
        <v>50</v>
      </c>
    </row>
    <row r="111" spans="1:2">
      <c r="A111" s="26">
        <v>5303040</v>
      </c>
      <c r="B111" s="11">
        <v>45</v>
      </c>
    </row>
    <row r="112" spans="1:2">
      <c r="A112" s="26">
        <v>5303099</v>
      </c>
      <c r="B112" s="11">
        <v>30</v>
      </c>
    </row>
    <row r="113" spans="1:2">
      <c r="A113" s="26">
        <v>5303100</v>
      </c>
      <c r="B113" s="11">
        <v>35</v>
      </c>
    </row>
    <row r="114" spans="1:2">
      <c r="A114" s="26">
        <v>5303101</v>
      </c>
      <c r="B114" s="11">
        <v>44</v>
      </c>
    </row>
    <row r="115" spans="1:2">
      <c r="A115" s="26">
        <v>5303102</v>
      </c>
      <c r="B115" s="11">
        <v>60</v>
      </c>
    </row>
    <row r="116" spans="1:2">
      <c r="A116" s="26">
        <v>5303121</v>
      </c>
      <c r="B116" s="11">
        <v>40</v>
      </c>
    </row>
    <row r="117" spans="1:2">
      <c r="A117" s="26">
        <v>5303496</v>
      </c>
      <c r="B117" s="11">
        <v>45</v>
      </c>
    </row>
    <row r="118" spans="1:2">
      <c r="A118" s="26">
        <v>5303497</v>
      </c>
      <c r="B118" s="11">
        <v>35</v>
      </c>
    </row>
    <row r="119" spans="1:2">
      <c r="A119" s="26">
        <v>5203495</v>
      </c>
      <c r="B119" s="11">
        <v>51</v>
      </c>
    </row>
    <row r="120" spans="1:2">
      <c r="A120" s="26">
        <v>3378884</v>
      </c>
      <c r="B120" s="11">
        <v>65</v>
      </c>
    </row>
    <row r="121" spans="1:2">
      <c r="A121" s="26">
        <v>3378895</v>
      </c>
      <c r="B121" s="11">
        <v>40</v>
      </c>
    </row>
    <row r="122" spans="1:2">
      <c r="A122" s="26">
        <v>3378862</v>
      </c>
      <c r="B122" s="11">
        <v>55</v>
      </c>
    </row>
    <row r="123" spans="1:2">
      <c r="A123" s="26">
        <v>3378158</v>
      </c>
      <c r="B123" s="11">
        <v>50</v>
      </c>
    </row>
    <row r="124" spans="1:2">
      <c r="A124" s="26">
        <v>3168894</v>
      </c>
      <c r="B124" s="11">
        <v>50</v>
      </c>
    </row>
    <row r="125" spans="1:2">
      <c r="A125" s="26">
        <v>3168895</v>
      </c>
      <c r="B125" s="11">
        <v>40</v>
      </c>
    </row>
    <row r="126" spans="1:2">
      <c r="A126" s="26">
        <v>3168896</v>
      </c>
      <c r="B126" s="11">
        <v>35</v>
      </c>
    </row>
    <row r="127" spans="1:2">
      <c r="A127" s="26">
        <v>3378015</v>
      </c>
      <c r="B127" s="11">
        <v>30</v>
      </c>
    </row>
    <row r="128" spans="1:2">
      <c r="A128" s="26">
        <v>3378048</v>
      </c>
      <c r="B128" s="11">
        <v>45</v>
      </c>
    </row>
    <row r="129" spans="1:2">
      <c r="A129" s="26">
        <v>3168905</v>
      </c>
      <c r="B129" s="11">
        <v>50</v>
      </c>
    </row>
    <row r="130" spans="1:2">
      <c r="A130" s="26">
        <v>3168906</v>
      </c>
      <c r="B130" s="11">
        <v>35</v>
      </c>
    </row>
    <row r="131" spans="1:2">
      <c r="A131" s="26">
        <v>3168907</v>
      </c>
      <c r="B131" s="11">
        <v>40</v>
      </c>
    </row>
    <row r="132" spans="1:2">
      <c r="A132" s="26">
        <v>3378081</v>
      </c>
      <c r="B132" s="11">
        <v>40</v>
      </c>
    </row>
    <row r="133" spans="1:2">
      <c r="A133" s="26">
        <v>3168941</v>
      </c>
      <c r="B133" s="11">
        <v>50</v>
      </c>
    </row>
    <row r="134" spans="1:2">
      <c r="A134" s="26">
        <v>3168942</v>
      </c>
      <c r="B134" s="11">
        <v>65</v>
      </c>
    </row>
    <row r="135" spans="1:2">
      <c r="A135" s="26">
        <v>3168900</v>
      </c>
      <c r="B135" s="11">
        <v>30</v>
      </c>
    </row>
    <row r="136" spans="1:2">
      <c r="A136" s="26">
        <v>3168901</v>
      </c>
      <c r="B136" s="11">
        <v>45</v>
      </c>
    </row>
    <row r="137" spans="1:2">
      <c r="A137" s="26">
        <v>3168902</v>
      </c>
      <c r="B137" s="11">
        <v>40</v>
      </c>
    </row>
    <row r="138" spans="1:2">
      <c r="A138" s="26">
        <v>3168903</v>
      </c>
      <c r="B138" s="11">
        <v>30</v>
      </c>
    </row>
    <row r="139" spans="1:2">
      <c r="A139" s="26">
        <v>3168904</v>
      </c>
      <c r="B139" s="11">
        <v>100</v>
      </c>
    </row>
    <row r="140" spans="1:2">
      <c r="A140" s="26">
        <v>5201001</v>
      </c>
      <c r="B140" s="11">
        <v>40</v>
      </c>
    </row>
    <row r="141" spans="1:2">
      <c r="A141" s="26">
        <v>5201002</v>
      </c>
      <c r="B141" s="11">
        <v>150</v>
      </c>
    </row>
    <row r="142" spans="1:2">
      <c r="A142" s="26">
        <v>5201003</v>
      </c>
      <c r="B142" s="11">
        <v>40</v>
      </c>
    </row>
    <row r="143" spans="1:2">
      <c r="A143" s="26">
        <v>5201004</v>
      </c>
      <c r="B143" s="11">
        <v>60</v>
      </c>
    </row>
    <row r="144" spans="1:2">
      <c r="A144" s="26">
        <v>5201006</v>
      </c>
      <c r="B144" s="11">
        <v>35</v>
      </c>
    </row>
    <row r="145" spans="1:2">
      <c r="A145" s="26">
        <v>5201032</v>
      </c>
      <c r="B145" s="11">
        <v>50</v>
      </c>
    </row>
    <row r="146" spans="1:2">
      <c r="A146" s="26">
        <v>5201031</v>
      </c>
      <c r="B146" s="11">
        <v>51</v>
      </c>
    </row>
    <row r="147" spans="1:2">
      <c r="A147" s="26">
        <v>5201008</v>
      </c>
      <c r="B147" s="11">
        <v>32</v>
      </c>
    </row>
    <row r="148" spans="1:2">
      <c r="A148" s="26">
        <v>5201016</v>
      </c>
      <c r="B148" s="11">
        <v>30</v>
      </c>
    </row>
    <row r="149" spans="1:2">
      <c r="A149" s="26">
        <v>5301010</v>
      </c>
      <c r="B149" s="11">
        <v>40</v>
      </c>
    </row>
    <row r="150" spans="1:2">
      <c r="A150" s="26">
        <v>5301011</v>
      </c>
      <c r="B150" s="11">
        <v>120</v>
      </c>
    </row>
    <row r="151" spans="1:2">
      <c r="A151" s="26">
        <v>5301012</v>
      </c>
      <c r="B151" s="11">
        <v>35</v>
      </c>
    </row>
    <row r="152" spans="1:2">
      <c r="A152" s="26">
        <v>5301013</v>
      </c>
      <c r="B152" s="11">
        <v>35</v>
      </c>
    </row>
    <row r="153" spans="1:2">
      <c r="A153" s="26">
        <v>5301017</v>
      </c>
      <c r="B153" s="11">
        <v>40</v>
      </c>
    </row>
    <row r="154" spans="1:2">
      <c r="A154" s="26">
        <v>5301018</v>
      </c>
      <c r="B154" s="11">
        <v>32</v>
      </c>
    </row>
    <row r="155" spans="1:2">
      <c r="A155" s="26">
        <v>5301021</v>
      </c>
      <c r="B155" s="11">
        <v>30</v>
      </c>
    </row>
    <row r="156" spans="1:2">
      <c r="A156" s="26">
        <v>5301022</v>
      </c>
      <c r="B156" s="11">
        <v>35</v>
      </c>
    </row>
    <row r="157" spans="1:2">
      <c r="A157" s="26">
        <v>5301014</v>
      </c>
      <c r="B157" s="11">
        <v>44</v>
      </c>
    </row>
    <row r="158" spans="1:2">
      <c r="A158" s="26">
        <v>5301015</v>
      </c>
      <c r="B158" s="11">
        <v>37</v>
      </c>
    </row>
    <row r="159" spans="1:2">
      <c r="A159" s="26">
        <v>5301026</v>
      </c>
      <c r="B159" s="11">
        <v>30</v>
      </c>
    </row>
    <row r="160" spans="1:2">
      <c r="A160" s="26">
        <v>5301027</v>
      </c>
      <c r="B160" s="11">
        <v>30</v>
      </c>
    </row>
    <row r="161" spans="1:2">
      <c r="A161" s="26">
        <v>5301028</v>
      </c>
      <c r="B161" s="11">
        <v>50</v>
      </c>
    </row>
    <row r="162" spans="1:2">
      <c r="A162" s="26">
        <v>5301029</v>
      </c>
      <c r="B162" s="11">
        <v>30</v>
      </c>
    </row>
    <row r="163" spans="1:2">
      <c r="A163" s="26">
        <v>5301030</v>
      </c>
      <c r="B163" s="11">
        <v>30</v>
      </c>
    </row>
    <row r="164" spans="1:2">
      <c r="A164" s="26">
        <v>5201025</v>
      </c>
      <c r="B164" s="11">
        <v>55</v>
      </c>
    </row>
    <row r="165" spans="1:2">
      <c r="A165" s="26">
        <v>5301023</v>
      </c>
      <c r="B165" s="11">
        <v>55</v>
      </c>
    </row>
    <row r="166" spans="1:2">
      <c r="A166" s="26">
        <v>5301024</v>
      </c>
      <c r="B166" s="11">
        <v>60</v>
      </c>
    </row>
    <row r="167" spans="1:2">
      <c r="A167" s="26">
        <v>5201114</v>
      </c>
      <c r="B167" s="11">
        <v>60</v>
      </c>
    </row>
    <row r="168" spans="1:2">
      <c r="A168" s="26">
        <v>3168897</v>
      </c>
      <c r="B168" s="11">
        <v>36</v>
      </c>
    </row>
    <row r="169" spans="1:2">
      <c r="A169" s="26">
        <v>3168898</v>
      </c>
      <c r="B169" s="11">
        <v>44</v>
      </c>
    </row>
    <row r="170" spans="1:2">
      <c r="A170" s="26">
        <v>5301064</v>
      </c>
      <c r="B170" s="11">
        <v>50</v>
      </c>
    </row>
    <row r="171" spans="1:2">
      <c r="A171" s="26">
        <v>5301065</v>
      </c>
      <c r="B171" s="11">
        <v>35</v>
      </c>
    </row>
    <row r="172" spans="1:2">
      <c r="A172" s="26">
        <v>5301066</v>
      </c>
      <c r="B172" s="11">
        <v>44</v>
      </c>
    </row>
    <row r="173" spans="1:2">
      <c r="A173" s="26">
        <v>5301059</v>
      </c>
      <c r="B173" s="11">
        <v>30</v>
      </c>
    </row>
    <row r="174" spans="1:2">
      <c r="A174" s="26">
        <v>3168909</v>
      </c>
      <c r="B174" s="11">
        <v>41</v>
      </c>
    </row>
    <row r="175" spans="1:2">
      <c r="A175" s="26">
        <v>5301061</v>
      </c>
      <c r="B175" s="11">
        <v>37</v>
      </c>
    </row>
    <row r="176" spans="1:2">
      <c r="A176" s="26">
        <v>5301115</v>
      </c>
      <c r="B176" s="11">
        <v>45</v>
      </c>
    </row>
    <row r="177" spans="1:2">
      <c r="A177" s="26">
        <v>5301116</v>
      </c>
      <c r="B177" s="11">
        <v>180</v>
      </c>
    </row>
    <row r="178" spans="1:2">
      <c r="A178" s="26">
        <v>5201094</v>
      </c>
      <c r="B178" s="11">
        <v>57</v>
      </c>
    </row>
    <row r="179" spans="1:2">
      <c r="A179" s="26">
        <v>5201007</v>
      </c>
      <c r="B179" s="11">
        <v>200</v>
      </c>
    </row>
    <row r="180" spans="1:2">
      <c r="A180" s="26">
        <v>5207199</v>
      </c>
      <c r="B180" s="11">
        <v>40</v>
      </c>
    </row>
    <row r="181" spans="1:2">
      <c r="A181" s="26">
        <v>5207200</v>
      </c>
      <c r="B181" s="11">
        <v>900</v>
      </c>
    </row>
    <row r="182" spans="1:2">
      <c r="A182" s="26">
        <v>5207201</v>
      </c>
      <c r="B182" s="11">
        <v>600</v>
      </c>
    </row>
    <row r="183" spans="1:2">
      <c r="A183" s="26">
        <v>5207202</v>
      </c>
      <c r="B183" s="11">
        <v>600</v>
      </c>
    </row>
    <row r="184" spans="1:2">
      <c r="A184" s="26">
        <v>5201370</v>
      </c>
      <c r="B184" s="11">
        <v>105</v>
      </c>
    </row>
    <row r="185" spans="1:2">
      <c r="A185" s="26">
        <v>5201406</v>
      </c>
      <c r="B185" s="11">
        <v>100</v>
      </c>
    </row>
    <row r="186" spans="1:2">
      <c r="A186" s="26">
        <v>5201407</v>
      </c>
      <c r="B186" s="11">
        <v>68</v>
      </c>
    </row>
    <row r="187" spans="1:2">
      <c r="A187" s="26">
        <v>5201381</v>
      </c>
      <c r="B187" s="11">
        <v>70</v>
      </c>
    </row>
    <row r="188" spans="1:2">
      <c r="A188" s="26">
        <v>5201386</v>
      </c>
      <c r="B188" s="11">
        <v>35</v>
      </c>
    </row>
    <row r="189" spans="1:2">
      <c r="A189" s="26">
        <v>5301379</v>
      </c>
      <c r="B189" s="11">
        <v>85</v>
      </c>
    </row>
    <row r="190" spans="1:2">
      <c r="A190" s="26">
        <v>5301380</v>
      </c>
      <c r="B190" s="11">
        <v>120</v>
      </c>
    </row>
    <row r="191" spans="1:2">
      <c r="A191" s="26">
        <v>5301371</v>
      </c>
      <c r="B191" s="11">
        <v>35</v>
      </c>
    </row>
    <row r="192" spans="1:2">
      <c r="A192" s="26">
        <v>5301372</v>
      </c>
      <c r="B192" s="11">
        <v>55</v>
      </c>
    </row>
    <row r="193" spans="1:2">
      <c r="A193" s="26">
        <v>5301373</v>
      </c>
      <c r="B193" s="11">
        <v>80</v>
      </c>
    </row>
    <row r="194" spans="1:2">
      <c r="A194" s="26">
        <v>5301374</v>
      </c>
      <c r="B194" s="11">
        <v>60</v>
      </c>
    </row>
    <row r="195" spans="1:2">
      <c r="A195" s="26">
        <v>5301402</v>
      </c>
      <c r="B195" s="11">
        <v>55</v>
      </c>
    </row>
    <row r="196" spans="1:2">
      <c r="A196" s="26">
        <v>5301403</v>
      </c>
      <c r="B196" s="11">
        <v>120</v>
      </c>
    </row>
    <row r="197" spans="1:2">
      <c r="A197" s="26">
        <v>5301404</v>
      </c>
      <c r="B197" s="11">
        <v>120</v>
      </c>
    </row>
    <row r="198" spans="1:2">
      <c r="A198" s="26">
        <v>5301405</v>
      </c>
      <c r="B198" s="11">
        <v>60</v>
      </c>
    </row>
    <row r="199" spans="1:2">
      <c r="A199" s="26">
        <v>5301408</v>
      </c>
      <c r="B199" s="11">
        <v>40</v>
      </c>
    </row>
    <row r="200" spans="1:2">
      <c r="A200" s="26">
        <v>5301409</v>
      </c>
      <c r="B200" s="11">
        <v>80</v>
      </c>
    </row>
    <row r="201" spans="1:2">
      <c r="A201" s="26">
        <v>5301410</v>
      </c>
      <c r="B201" s="11">
        <v>80</v>
      </c>
    </row>
    <row r="202" spans="1:2">
      <c r="A202" s="26">
        <v>5301411</v>
      </c>
      <c r="B202" s="11">
        <v>300</v>
      </c>
    </row>
    <row r="203" spans="1:2">
      <c r="A203" s="26">
        <v>5301412</v>
      </c>
      <c r="B203" s="11">
        <v>300</v>
      </c>
    </row>
    <row r="204" spans="1:2">
      <c r="A204" s="26">
        <v>5301413</v>
      </c>
      <c r="B204" s="11">
        <v>50</v>
      </c>
    </row>
    <row r="205" spans="1:2">
      <c r="A205" s="26">
        <v>5201452</v>
      </c>
      <c r="B205" s="11">
        <v>55</v>
      </c>
    </row>
    <row r="206" spans="1:2">
      <c r="A206" s="26">
        <v>5201449</v>
      </c>
      <c r="B206" s="11">
        <v>45</v>
      </c>
    </row>
    <row r="207" spans="1:2">
      <c r="A207" s="26">
        <v>5201450</v>
      </c>
      <c r="B207" s="11">
        <v>65</v>
      </c>
    </row>
    <row r="208" spans="1:2">
      <c r="A208" s="26">
        <v>5201451</v>
      </c>
      <c r="B208" s="11">
        <v>34</v>
      </c>
    </row>
    <row r="209" spans="1:2">
      <c r="A209" s="26">
        <v>5201459</v>
      </c>
      <c r="B209" s="11">
        <v>34</v>
      </c>
    </row>
    <row r="210" spans="1:2">
      <c r="A210" s="26">
        <v>5201443</v>
      </c>
      <c r="B210" s="11">
        <v>55</v>
      </c>
    </row>
    <row r="211" spans="1:2">
      <c r="A211" s="26">
        <v>5201444</v>
      </c>
      <c r="B211" s="11">
        <v>40</v>
      </c>
    </row>
    <row r="212" spans="1:2">
      <c r="A212" s="26">
        <v>5201454</v>
      </c>
      <c r="B212" s="11">
        <v>70</v>
      </c>
    </row>
    <row r="213" spans="1:2">
      <c r="A213" s="26">
        <v>5301460</v>
      </c>
      <c r="B213" s="11">
        <v>50</v>
      </c>
    </row>
    <row r="214" spans="1:2">
      <c r="A214" s="26">
        <v>5301461</v>
      </c>
      <c r="B214" s="11">
        <v>50</v>
      </c>
    </row>
    <row r="215" spans="1:2">
      <c r="A215" s="26">
        <v>5301462</v>
      </c>
      <c r="B215" s="11">
        <v>45</v>
      </c>
    </row>
    <row r="216" spans="1:2">
      <c r="A216" s="26">
        <v>5301445</v>
      </c>
      <c r="B216" s="11">
        <v>40</v>
      </c>
    </row>
    <row r="217" spans="1:2">
      <c r="A217" s="26">
        <v>5301446</v>
      </c>
      <c r="B217" s="11">
        <v>40</v>
      </c>
    </row>
    <row r="218" spans="1:2">
      <c r="A218" s="26">
        <v>5301447</v>
      </c>
      <c r="B218" s="11">
        <v>40</v>
      </c>
    </row>
    <row r="219" spans="1:2">
      <c r="A219" s="26">
        <v>5301448</v>
      </c>
      <c r="B219" s="11">
        <v>66</v>
      </c>
    </row>
    <row r="220" spans="1:2">
      <c r="A220" s="26">
        <v>5301484</v>
      </c>
      <c r="B220" s="11">
        <v>50</v>
      </c>
    </row>
    <row r="221" spans="1:2">
      <c r="A221" s="26">
        <v>5301513</v>
      </c>
      <c r="B221" s="11">
        <v>40</v>
      </c>
    </row>
    <row r="222" spans="1:2">
      <c r="A222" s="26">
        <v>5301486</v>
      </c>
      <c r="B222" s="11">
        <v>36</v>
      </c>
    </row>
    <row r="223" spans="1:2">
      <c r="A223" s="26">
        <v>5301471</v>
      </c>
      <c r="B223" s="11">
        <v>35</v>
      </c>
    </row>
    <row r="224" spans="1:2">
      <c r="A224" s="26">
        <v>5301472</v>
      </c>
      <c r="B224" s="11">
        <v>44</v>
      </c>
    </row>
    <row r="225" spans="1:2">
      <c r="A225" s="26">
        <v>5301473</v>
      </c>
      <c r="B225" s="11">
        <v>45</v>
      </c>
    </row>
    <row r="226" spans="1:2">
      <c r="A226" s="26">
        <v>5301474</v>
      </c>
      <c r="B226" s="11">
        <v>50</v>
      </c>
    </row>
    <row r="227" spans="1:2">
      <c r="A227" s="26">
        <v>5201469</v>
      </c>
      <c r="B227" s="11">
        <v>40</v>
      </c>
    </row>
    <row r="228" spans="1:2">
      <c r="A228" s="26">
        <v>5201470</v>
      </c>
      <c r="B228" s="11">
        <v>40</v>
      </c>
    </row>
    <row r="229" spans="1:2">
      <c r="A229" s="26">
        <v>5301479</v>
      </c>
      <c r="B229" s="11">
        <v>40</v>
      </c>
    </row>
    <row r="230" spans="1:2">
      <c r="A230" s="26">
        <v>5301480</v>
      </c>
      <c r="B230" s="11">
        <v>32</v>
      </c>
    </row>
    <row r="231" spans="1:2">
      <c r="A231" s="26">
        <v>5201483</v>
      </c>
      <c r="B231" s="11">
        <v>51</v>
      </c>
    </row>
    <row r="232" spans="1:2">
      <c r="A232" s="26">
        <v>5201475</v>
      </c>
      <c r="B232" s="11">
        <v>51</v>
      </c>
    </row>
    <row r="233" spans="1:2">
      <c r="A233" s="26">
        <v>5201478</v>
      </c>
      <c r="B233" s="11">
        <v>45</v>
      </c>
    </row>
    <row r="234" spans="1:2">
      <c r="A234" s="26">
        <v>5301481</v>
      </c>
      <c r="B234" s="11">
        <v>40</v>
      </c>
    </row>
    <row r="235" spans="1:2">
      <c r="A235" s="26">
        <v>5301482</v>
      </c>
      <c r="B235" s="11">
        <v>55</v>
      </c>
    </row>
    <row r="236" spans="1:2">
      <c r="A236" s="26">
        <v>5301476</v>
      </c>
      <c r="B236" s="11">
        <v>100</v>
      </c>
    </row>
    <row r="237" spans="1:2">
      <c r="A237" s="26">
        <v>5301477</v>
      </c>
      <c r="B237" s="11">
        <v>60</v>
      </c>
    </row>
    <row r="238" spans="1:2">
      <c r="A238" s="26">
        <v>5301455</v>
      </c>
      <c r="B238" s="11">
        <v>48</v>
      </c>
    </row>
    <row r="239" spans="1:2">
      <c r="A239" s="26">
        <v>5301456</v>
      </c>
      <c r="B239" s="11">
        <v>35</v>
      </c>
    </row>
    <row r="240" spans="1:2">
      <c r="A240" s="26">
        <v>5301457</v>
      </c>
      <c r="B240" s="11">
        <v>36</v>
      </c>
    </row>
    <row r="241" spans="1:2">
      <c r="A241" s="26">
        <v>5301458</v>
      </c>
      <c r="B241" s="11">
        <v>44</v>
      </c>
    </row>
    <row r="242" spans="1:2">
      <c r="A242" s="26">
        <v>5201463</v>
      </c>
      <c r="B242" s="11">
        <v>35</v>
      </c>
    </row>
    <row r="243" spans="1:2">
      <c r="A243" s="26">
        <v>5301464</v>
      </c>
      <c r="B243" s="11">
        <v>35</v>
      </c>
    </row>
    <row r="244" spans="1:2">
      <c r="A244" s="26">
        <v>5301465</v>
      </c>
      <c r="B244" s="11">
        <v>30</v>
      </c>
    </row>
    <row r="245" spans="1:2">
      <c r="A245" s="26">
        <v>5301466</v>
      </c>
      <c r="B245" s="11">
        <v>30</v>
      </c>
    </row>
    <row r="246" spans="1:2">
      <c r="A246" s="26">
        <v>5301467</v>
      </c>
      <c r="B246" s="11">
        <v>61</v>
      </c>
    </row>
    <row r="247" spans="1:2">
      <c r="A247" s="26">
        <v>5301468</v>
      </c>
      <c r="B247" s="11">
        <v>57</v>
      </c>
    </row>
    <row r="248" spans="1:2">
      <c r="A248" s="26">
        <v>5301549</v>
      </c>
      <c r="B248" s="11">
        <v>59</v>
      </c>
    </row>
    <row r="249" spans="1:2">
      <c r="A249" s="26">
        <v>5301550</v>
      </c>
      <c r="B249" s="11">
        <v>57</v>
      </c>
    </row>
    <row r="250" spans="1:2">
      <c r="A250" s="26">
        <v>5301551</v>
      </c>
      <c r="B250" s="11">
        <v>50</v>
      </c>
    </row>
    <row r="251" spans="1:2">
      <c r="A251" s="26">
        <v>5301552</v>
      </c>
      <c r="B251" s="11">
        <v>40</v>
      </c>
    </row>
    <row r="252" spans="1:2">
      <c r="A252" s="26">
        <v>5207680</v>
      </c>
      <c r="B252" s="11">
        <v>800</v>
      </c>
    </row>
    <row r="253" spans="1:2">
      <c r="A253" s="26">
        <v>3185808</v>
      </c>
      <c r="B253" s="11">
        <v>45</v>
      </c>
    </row>
    <row r="254" spans="1:2">
      <c r="A254" s="26">
        <v>3185809</v>
      </c>
      <c r="B254" s="11">
        <v>50</v>
      </c>
    </row>
    <row r="255" spans="1:2">
      <c r="A255" s="26">
        <v>3185810</v>
      </c>
      <c r="B255" s="11">
        <v>50</v>
      </c>
    </row>
    <row r="256" spans="1:2">
      <c r="A256" s="26">
        <v>3387431</v>
      </c>
      <c r="B256" s="11">
        <v>50</v>
      </c>
    </row>
    <row r="257" spans="1:2">
      <c r="A257" s="26">
        <v>3387442</v>
      </c>
      <c r="B257" s="11">
        <v>46</v>
      </c>
    </row>
    <row r="258" spans="1:2">
      <c r="A258" s="26">
        <v>3387398</v>
      </c>
      <c r="B258" s="11">
        <v>61</v>
      </c>
    </row>
    <row r="259" spans="1:2">
      <c r="A259" s="26">
        <v>5207203</v>
      </c>
      <c r="B259" s="11">
        <v>950</v>
      </c>
    </row>
    <row r="260" spans="1:2">
      <c r="A260" s="26">
        <v>5204262</v>
      </c>
      <c r="B260" s="11">
        <v>40</v>
      </c>
    </row>
    <row r="261" spans="1:2">
      <c r="A261" s="26">
        <v>5204259</v>
      </c>
      <c r="B261" s="11">
        <v>55</v>
      </c>
    </row>
    <row r="262" spans="1:2">
      <c r="A262" s="26">
        <v>5204308</v>
      </c>
      <c r="B262" s="11">
        <v>45</v>
      </c>
    </row>
    <row r="263" spans="1:2">
      <c r="A263" s="26">
        <v>5304364</v>
      </c>
      <c r="B263" s="11">
        <v>250</v>
      </c>
    </row>
    <row r="264" spans="1:2">
      <c r="A264" s="26">
        <v>5304336</v>
      </c>
      <c r="B264" s="11">
        <v>35</v>
      </c>
    </row>
    <row r="265" spans="1:2">
      <c r="A265" s="26">
        <v>5304360</v>
      </c>
      <c r="B265" s="11">
        <v>44</v>
      </c>
    </row>
    <row r="266" spans="1:2">
      <c r="A266" s="26">
        <v>5304361</v>
      </c>
      <c r="B266" s="11">
        <v>60</v>
      </c>
    </row>
    <row r="267" spans="1:2">
      <c r="A267" s="26">
        <v>5304362</v>
      </c>
      <c r="B267" s="11">
        <v>40</v>
      </c>
    </row>
    <row r="268" spans="1:2">
      <c r="A268" s="26">
        <v>5304363</v>
      </c>
      <c r="B268" s="11">
        <v>40</v>
      </c>
    </row>
    <row r="269" spans="1:2">
      <c r="A269" s="26">
        <v>5204249</v>
      </c>
      <c r="B269" s="11">
        <v>35</v>
      </c>
    </row>
    <row r="270" spans="1:2">
      <c r="A270" s="26">
        <v>5204250</v>
      </c>
      <c r="B270" s="11">
        <v>30</v>
      </c>
    </row>
    <row r="271" spans="1:2">
      <c r="A271" s="26">
        <v>5204251</v>
      </c>
      <c r="B271" s="11">
        <v>38</v>
      </c>
    </row>
    <row r="272" spans="1:2">
      <c r="A272" s="26">
        <v>5304252</v>
      </c>
      <c r="B272" s="11">
        <v>320</v>
      </c>
    </row>
    <row r="273" spans="1:2">
      <c r="A273" s="26">
        <v>5304253</v>
      </c>
      <c r="B273" s="11">
        <v>250</v>
      </c>
    </row>
    <row r="274" spans="1:2">
      <c r="A274" s="26">
        <v>5304254</v>
      </c>
      <c r="B274" s="11">
        <v>35</v>
      </c>
    </row>
    <row r="275" spans="1:2">
      <c r="A275" s="26">
        <v>5304255</v>
      </c>
      <c r="B275" s="11">
        <v>200</v>
      </c>
    </row>
    <row r="276" spans="1:2">
      <c r="A276" s="26">
        <v>5304256</v>
      </c>
      <c r="B276" s="11">
        <v>50</v>
      </c>
    </row>
    <row r="277" spans="1:2">
      <c r="A277" s="26">
        <v>5304257</v>
      </c>
      <c r="B277" s="11">
        <v>44</v>
      </c>
    </row>
    <row r="278" spans="1:2">
      <c r="A278" s="26">
        <v>5204258</v>
      </c>
      <c r="B278" s="11">
        <v>100</v>
      </c>
    </row>
    <row r="279" spans="1:2">
      <c r="A279" s="26">
        <v>5304367</v>
      </c>
      <c r="B279" s="11">
        <v>75</v>
      </c>
    </row>
    <row r="280" spans="1:2">
      <c r="A280" s="26">
        <v>5304246</v>
      </c>
      <c r="B280" s="11">
        <v>30</v>
      </c>
    </row>
    <row r="281" spans="1:2">
      <c r="A281" s="26">
        <v>5304369</v>
      </c>
      <c r="B281" s="11">
        <v>55</v>
      </c>
    </row>
    <row r="282" spans="1:2">
      <c r="A282" s="26">
        <v>5304421</v>
      </c>
      <c r="B282" s="11">
        <v>25</v>
      </c>
    </row>
    <row r="283" spans="1:2">
      <c r="A283" s="26">
        <v>5304420</v>
      </c>
      <c r="B283" s="11">
        <v>20</v>
      </c>
    </row>
    <row r="284" spans="1:2">
      <c r="A284" s="26">
        <v>5304247</v>
      </c>
      <c r="B284" s="11">
        <v>35</v>
      </c>
    </row>
    <row r="285" spans="1:2">
      <c r="A285" s="26">
        <v>5304368</v>
      </c>
      <c r="B285" s="11">
        <v>30</v>
      </c>
    </row>
    <row r="286" spans="1:2">
      <c r="A286" s="26">
        <v>5205286</v>
      </c>
      <c r="B286" s="11">
        <v>100</v>
      </c>
    </row>
    <row r="287" spans="1:2">
      <c r="A287" s="26">
        <v>5205321</v>
      </c>
      <c r="B287" s="11">
        <v>100</v>
      </c>
    </row>
    <row r="288" spans="1:2">
      <c r="A288" s="26">
        <v>5205339</v>
      </c>
      <c r="B288" s="11">
        <v>15</v>
      </c>
    </row>
    <row r="289" spans="1:2">
      <c r="A289" s="26">
        <v>5305355</v>
      </c>
      <c r="B289" s="11">
        <v>60</v>
      </c>
    </row>
    <row r="290" spans="1:2">
      <c r="A290" s="26">
        <v>5305341</v>
      </c>
      <c r="B290" s="11">
        <v>80</v>
      </c>
    </row>
    <row r="291" spans="1:2">
      <c r="A291" s="26">
        <v>5305415</v>
      </c>
      <c r="B291" s="11">
        <v>45</v>
      </c>
    </row>
    <row r="292" spans="1:2">
      <c r="A292" s="26">
        <v>5305416</v>
      </c>
      <c r="B292" s="11">
        <v>15</v>
      </c>
    </row>
    <row r="293" spans="1:2">
      <c r="A293" s="26">
        <v>5305417</v>
      </c>
      <c r="B293" s="11">
        <v>30</v>
      </c>
    </row>
    <row r="294" spans="1:2">
      <c r="A294" s="26">
        <v>5305298</v>
      </c>
      <c r="B294" s="11">
        <v>320</v>
      </c>
    </row>
    <row r="295" spans="1:2">
      <c r="A295" s="26">
        <v>5305419</v>
      </c>
      <c r="B295" s="11">
        <v>70</v>
      </c>
    </row>
    <row r="296" spans="1:2">
      <c r="A296" s="26">
        <v>5305343</v>
      </c>
      <c r="B296" s="11">
        <v>25</v>
      </c>
    </row>
    <row r="297" spans="1:2">
      <c r="A297" s="26">
        <v>5305288</v>
      </c>
      <c r="B297" s="11">
        <v>200</v>
      </c>
    </row>
    <row r="298" spans="1:2">
      <c r="A298" s="26">
        <v>5305418</v>
      </c>
      <c r="B298" s="11">
        <v>200</v>
      </c>
    </row>
    <row r="299" spans="1:2">
      <c r="A299" s="26">
        <v>5305290</v>
      </c>
      <c r="B299" s="11">
        <v>220</v>
      </c>
    </row>
    <row r="300" spans="1:2">
      <c r="A300" s="26">
        <v>5305300</v>
      </c>
      <c r="B300" s="11">
        <v>150</v>
      </c>
    </row>
    <row r="301" spans="1:2">
      <c r="A301" s="26">
        <v>5305301</v>
      </c>
      <c r="B301" s="11">
        <v>100</v>
      </c>
    </row>
    <row r="302" spans="1:2">
      <c r="A302" s="26">
        <v>5205212</v>
      </c>
      <c r="B302" s="11">
        <v>45</v>
      </c>
    </row>
    <row r="303" spans="1:2">
      <c r="A303" s="26">
        <v>5205213</v>
      </c>
      <c r="B303" s="11">
        <v>45</v>
      </c>
    </row>
    <row r="304" spans="1:2">
      <c r="A304" s="26">
        <v>5305398</v>
      </c>
      <c r="B304" s="11">
        <v>60</v>
      </c>
    </row>
    <row r="305" spans="1:2">
      <c r="A305" s="26">
        <v>5305315</v>
      </c>
      <c r="B305" s="11">
        <v>60</v>
      </c>
    </row>
    <row r="306" spans="1:2">
      <c r="A306" s="26">
        <v>5305399</v>
      </c>
      <c r="B306" s="11">
        <v>70</v>
      </c>
    </row>
    <row r="307" spans="1:2">
      <c r="A307" s="26">
        <v>5305218</v>
      </c>
      <c r="B307" s="11">
        <v>80</v>
      </c>
    </row>
    <row r="308" spans="1:2">
      <c r="A308" s="26">
        <v>5305219</v>
      </c>
      <c r="B308" s="11">
        <v>90</v>
      </c>
    </row>
    <row r="309" spans="1:2">
      <c r="A309" s="26">
        <v>5205366</v>
      </c>
      <c r="B309" s="11">
        <v>50</v>
      </c>
    </row>
    <row r="310" spans="1:2">
      <c r="A310" s="26">
        <v>5205356</v>
      </c>
      <c r="B310" s="11">
        <v>65</v>
      </c>
    </row>
    <row r="311" spans="1:2">
      <c r="A311" s="26">
        <v>5205239</v>
      </c>
      <c r="B311" s="11">
        <v>60</v>
      </c>
    </row>
    <row r="312" spans="1:2">
      <c r="A312" s="26">
        <v>5205236</v>
      </c>
      <c r="B312" s="11">
        <v>55</v>
      </c>
    </row>
    <row r="313" spans="1:2">
      <c r="A313" s="26">
        <v>5305400</v>
      </c>
      <c r="B313" s="11">
        <v>60</v>
      </c>
    </row>
    <row r="314" spans="1:2">
      <c r="A314" s="26">
        <v>5305401</v>
      </c>
      <c r="B314" s="11">
        <v>70</v>
      </c>
    </row>
    <row r="315" spans="1:2">
      <c r="A315" s="26">
        <v>5205208</v>
      </c>
      <c r="B315" s="11">
        <v>55</v>
      </c>
    </row>
    <row r="316" spans="1:2">
      <c r="A316" s="26">
        <v>5205217</v>
      </c>
      <c r="B316" s="11">
        <v>70</v>
      </c>
    </row>
    <row r="317" spans="1:2">
      <c r="A317" s="26">
        <v>5205234</v>
      </c>
      <c r="B317" s="11">
        <v>50</v>
      </c>
    </row>
    <row r="318" spans="1:2">
      <c r="A318" s="26">
        <v>5205206</v>
      </c>
      <c r="B318" s="11">
        <v>60</v>
      </c>
    </row>
    <row r="319" spans="1:2">
      <c r="A319" s="26">
        <v>5305209</v>
      </c>
      <c r="B319" s="11">
        <v>80</v>
      </c>
    </row>
    <row r="320" spans="1:2">
      <c r="A320" s="26">
        <v>5305210</v>
      </c>
      <c r="B320" s="11">
        <v>55</v>
      </c>
    </row>
    <row r="321" spans="1:2">
      <c r="A321" s="26">
        <v>5305211</v>
      </c>
      <c r="B321" s="11">
        <v>50</v>
      </c>
    </row>
    <row r="322" spans="1:2">
      <c r="A322" s="26">
        <v>5205266</v>
      </c>
      <c r="B322" s="11">
        <v>30</v>
      </c>
    </row>
    <row r="323" spans="1:2">
      <c r="A323" s="26">
        <v>5205267</v>
      </c>
      <c r="B323" s="11">
        <v>55</v>
      </c>
    </row>
    <row r="324" spans="1:2">
      <c r="A324" s="26">
        <v>5205269</v>
      </c>
      <c r="B324" s="11">
        <v>60</v>
      </c>
    </row>
    <row r="325" spans="1:2">
      <c r="A325" s="26">
        <v>5205270</v>
      </c>
      <c r="B325" s="11">
        <v>300</v>
      </c>
    </row>
    <row r="326" spans="1:2">
      <c r="A326" s="26">
        <v>5205357</v>
      </c>
      <c r="B326" s="11">
        <v>110</v>
      </c>
    </row>
    <row r="327" spans="1:2">
      <c r="A327" s="26">
        <v>5205273</v>
      </c>
      <c r="B327" s="11">
        <v>150</v>
      </c>
    </row>
    <row r="328" spans="1:2">
      <c r="A328" s="26">
        <v>5305274</v>
      </c>
      <c r="B328" s="11">
        <v>60</v>
      </c>
    </row>
    <row r="329" spans="1:2">
      <c r="A329" s="26">
        <v>5305275</v>
      </c>
      <c r="B329" s="11">
        <v>100</v>
      </c>
    </row>
    <row r="330" spans="1:2">
      <c r="A330" s="26">
        <v>5305278</v>
      </c>
      <c r="B330" s="11">
        <v>60</v>
      </c>
    </row>
    <row r="331" spans="1:2">
      <c r="A331" s="26">
        <v>5305414</v>
      </c>
      <c r="B331" s="11">
        <v>80</v>
      </c>
    </row>
    <row r="332" spans="1:2">
      <c r="A332" s="26">
        <v>5205268</v>
      </c>
      <c r="B332" s="11">
        <v>50</v>
      </c>
    </row>
    <row r="333" spans="1:2">
      <c r="A333" s="26">
        <v>5205358</v>
      </c>
      <c r="B333" s="11">
        <v>60</v>
      </c>
    </row>
    <row r="334" spans="1:2">
      <c r="A334" s="26">
        <v>5205359</v>
      </c>
      <c r="B334" s="11">
        <v>50</v>
      </c>
    </row>
    <row r="335" spans="1:2">
      <c r="A335" s="26">
        <v>5205344</v>
      </c>
      <c r="B335" s="11">
        <v>55</v>
      </c>
    </row>
    <row r="336" spans="1:2">
      <c r="A336" s="26">
        <v>5205323</v>
      </c>
      <c r="B336" s="11">
        <v>45</v>
      </c>
    </row>
    <row r="337" spans="1:2">
      <c r="A337" s="26">
        <v>5305345</v>
      </c>
      <c r="B337" s="11">
        <v>120</v>
      </c>
    </row>
    <row r="338" spans="1:2">
      <c r="A338" s="26">
        <v>5305346</v>
      </c>
      <c r="B338" s="11">
        <v>50</v>
      </c>
    </row>
    <row r="339" spans="1:2">
      <c r="A339" s="26">
        <v>5305711</v>
      </c>
      <c r="B339" s="11">
        <v>60</v>
      </c>
    </row>
    <row r="340" spans="1:2">
      <c r="A340" s="26">
        <v>5305710</v>
      </c>
      <c r="B340" s="11">
        <v>80</v>
      </c>
    </row>
    <row r="341" spans="1:2">
      <c r="A341" s="26">
        <v>5205349</v>
      </c>
      <c r="B341" s="11">
        <v>35</v>
      </c>
    </row>
    <row r="342" spans="1:2">
      <c r="A342" s="26">
        <v>5305350</v>
      </c>
      <c r="B342" s="11">
        <v>40</v>
      </c>
    </row>
    <row r="343" spans="1:2">
      <c r="A343" s="26">
        <v>5305351</v>
      </c>
      <c r="B343" s="11">
        <v>52</v>
      </c>
    </row>
    <row r="344" spans="1:2">
      <c r="A344" s="26">
        <v>5305330</v>
      </c>
      <c r="B344" s="11">
        <v>60</v>
      </c>
    </row>
    <row r="345" spans="1:2">
      <c r="A345" s="26">
        <v>5305331</v>
      </c>
      <c r="B345" s="11">
        <v>50</v>
      </c>
    </row>
    <row r="346" spans="1:2">
      <c r="A346" s="26">
        <v>5305332</v>
      </c>
      <c r="B346" s="11">
        <v>50</v>
      </c>
    </row>
    <row r="347" spans="1:2">
      <c r="A347" s="26">
        <v>5205333</v>
      </c>
      <c r="B347" s="11">
        <v>45</v>
      </c>
    </row>
    <row r="348" spans="1:2">
      <c r="A348" s="26">
        <v>5205296</v>
      </c>
      <c r="B348" s="11">
        <v>400</v>
      </c>
    </row>
    <row r="349" spans="1:2">
      <c r="A349" s="26">
        <v>5205204</v>
      </c>
      <c r="B349" s="11">
        <v>55</v>
      </c>
    </row>
    <row r="350" spans="1:2">
      <c r="A350" s="26">
        <v>5305313</v>
      </c>
      <c r="B350" s="11">
        <v>50</v>
      </c>
    </row>
    <row r="351" spans="1:2">
      <c r="A351" s="26">
        <v>5305314</v>
      </c>
      <c r="B351" s="11">
        <v>65</v>
      </c>
    </row>
    <row r="352" spans="1:2">
      <c r="A352" s="26">
        <v>5205487</v>
      </c>
      <c r="B352" s="11">
        <v>60</v>
      </c>
    </row>
    <row r="353" spans="1:2">
      <c r="A353" s="26">
        <v>5205231</v>
      </c>
      <c r="B353" s="11">
        <v>60</v>
      </c>
    </row>
    <row r="354" spans="1:2">
      <c r="A354" s="26">
        <v>5205232</v>
      </c>
      <c r="B354" s="11">
        <v>50</v>
      </c>
    </row>
    <row r="355" spans="1:2">
      <c r="A355" s="26">
        <v>5205361</v>
      </c>
      <c r="B355" s="11">
        <v>40</v>
      </c>
    </row>
    <row r="356" spans="1:2">
      <c r="A356" s="26">
        <v>5305235</v>
      </c>
      <c r="B356" s="11">
        <v>33</v>
      </c>
    </row>
    <row r="357" spans="1:2">
      <c r="A357" s="26">
        <v>5305264</v>
      </c>
      <c r="B357" s="11">
        <v>35</v>
      </c>
    </row>
    <row r="358" spans="1:2">
      <c r="A358" s="26">
        <v>5305265</v>
      </c>
      <c r="B358" s="11">
        <v>43</v>
      </c>
    </row>
    <row r="359" spans="1:2">
      <c r="A359" s="26">
        <v>5205237</v>
      </c>
      <c r="B359" s="11">
        <v>44</v>
      </c>
    </row>
    <row r="360" spans="1:2">
      <c r="A360" s="26">
        <v>5205220</v>
      </c>
      <c r="B360" s="11">
        <v>65</v>
      </c>
    </row>
    <row r="361" spans="1:2">
      <c r="A361" s="26">
        <v>5305280</v>
      </c>
      <c r="B361" s="11">
        <v>64</v>
      </c>
    </row>
    <row r="362" spans="1:2">
      <c r="A362" s="26">
        <v>5305281</v>
      </c>
      <c r="B362" s="11">
        <v>54</v>
      </c>
    </row>
    <row r="363" spans="1:2">
      <c r="A363" s="26">
        <v>5205222</v>
      </c>
      <c r="B363" s="11">
        <v>44</v>
      </c>
    </row>
    <row r="364" spans="1:2">
      <c r="A364" s="26">
        <v>5205224</v>
      </c>
      <c r="B364" s="11">
        <v>68</v>
      </c>
    </row>
    <row r="365" spans="1:2">
      <c r="A365" s="26">
        <v>5205316</v>
      </c>
      <c r="B365" s="11">
        <v>55</v>
      </c>
    </row>
    <row r="366" spans="1:2">
      <c r="A366" s="26">
        <v>5205205</v>
      </c>
      <c r="B366" s="11">
        <v>44</v>
      </c>
    </row>
    <row r="367" spans="1:2">
      <c r="A367" s="26">
        <v>5205302</v>
      </c>
      <c r="B367" s="11">
        <v>85</v>
      </c>
    </row>
    <row r="368" spans="1:2">
      <c r="A368" s="26">
        <v>5205674</v>
      </c>
      <c r="B368" s="11">
        <v>80</v>
      </c>
    </row>
    <row r="369" spans="1:2">
      <c r="A369" s="26">
        <v>5205675</v>
      </c>
      <c r="B369" s="11">
        <v>40</v>
      </c>
    </row>
    <row r="370" spans="1:2">
      <c r="A370" s="26">
        <v>5305352</v>
      </c>
      <c r="B370" s="11">
        <v>32</v>
      </c>
    </row>
    <row r="371" spans="1:2">
      <c r="A371" s="26">
        <v>5305353</v>
      </c>
      <c r="B371" s="11">
        <v>30</v>
      </c>
    </row>
    <row r="372" spans="1:2">
      <c r="A372" s="26">
        <v>5305677</v>
      </c>
      <c r="B372" s="11">
        <v>30</v>
      </c>
    </row>
    <row r="373" spans="1:2">
      <c r="A373" s="33">
        <v>5301537</v>
      </c>
      <c r="B373" s="20">
        <v>80</v>
      </c>
    </row>
    <row r="374" spans="1:2">
      <c r="A374" s="33">
        <v>5301538</v>
      </c>
      <c r="B374" s="20">
        <v>100</v>
      </c>
    </row>
    <row r="375" spans="1:2">
      <c r="A375" s="33">
        <v>5305712</v>
      </c>
      <c r="B375" s="20">
        <v>40</v>
      </c>
    </row>
    <row r="376" spans="1:2">
      <c r="A376" s="33">
        <v>5301521</v>
      </c>
      <c r="B376" s="20">
        <v>50</v>
      </c>
    </row>
    <row r="377" spans="1:2">
      <c r="A377" s="33">
        <v>5301522</v>
      </c>
      <c r="B377" s="20">
        <v>32</v>
      </c>
    </row>
    <row r="378" spans="1:2">
      <c r="A378" s="33">
        <v>5301528</v>
      </c>
      <c r="B378" s="20">
        <v>30</v>
      </c>
    </row>
    <row r="379" spans="1:2">
      <c r="A379" s="33">
        <v>5301529</v>
      </c>
      <c r="B379" s="20">
        <v>30</v>
      </c>
    </row>
    <row r="380" spans="1:2">
      <c r="A380" s="33">
        <v>5301530</v>
      </c>
      <c r="B380" s="20">
        <v>30</v>
      </c>
    </row>
    <row r="381" spans="1:2">
      <c r="A381" s="58">
        <v>5203831</v>
      </c>
      <c r="B381" s="96">
        <v>135</v>
      </c>
    </row>
  </sheetData>
  <conditionalFormatting sqref="B1:B1048576">
    <cfRule type="containsBlanks" dxfId="0" priority="1">
      <formula>LEN(TRIM(B1))=0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F66"/>
  <sheetViews>
    <sheetView workbookViewId="0">
      <selection activeCell="C4" sqref="C4"/>
    </sheetView>
  </sheetViews>
  <sheetFormatPr baseColWidth="10" defaultRowHeight="15"/>
  <cols>
    <col min="2" max="2" width="20.140625" bestFit="1" customWidth="1"/>
  </cols>
  <sheetData>
    <row r="1" spans="1:6" ht="45">
      <c r="A1" s="69" t="s">
        <v>130</v>
      </c>
      <c r="B1" s="69" t="s">
        <v>131</v>
      </c>
    </row>
    <row r="2" spans="1:6" ht="15" customHeight="1">
      <c r="A2" s="73">
        <v>5302174</v>
      </c>
      <c r="B2" s="73" t="s">
        <v>132</v>
      </c>
      <c r="C2" s="56"/>
      <c r="D2" s="56"/>
      <c r="E2" s="56"/>
      <c r="F2" s="56"/>
    </row>
    <row r="3" spans="1:6" ht="15" customHeight="1">
      <c r="A3" s="70">
        <v>3373362</v>
      </c>
      <c r="B3" s="70" t="s">
        <v>133</v>
      </c>
      <c r="C3" s="56"/>
      <c r="D3" s="56"/>
      <c r="E3" s="56"/>
      <c r="F3" s="56"/>
    </row>
    <row r="4" spans="1:6" ht="15" customHeight="1">
      <c r="A4" s="70">
        <v>3168874</v>
      </c>
      <c r="B4" s="70" t="s">
        <v>134</v>
      </c>
      <c r="C4" s="56"/>
      <c r="D4" s="56"/>
      <c r="E4" s="56"/>
      <c r="F4" s="56"/>
    </row>
    <row r="5" spans="1:6" ht="15" customHeight="1">
      <c r="A5" s="70">
        <v>3168887</v>
      </c>
      <c r="B5" s="70" t="s">
        <v>135</v>
      </c>
      <c r="C5" s="56"/>
      <c r="D5" s="56"/>
      <c r="E5" s="56"/>
      <c r="F5" s="56"/>
    </row>
    <row r="6" spans="1:6" ht="15" customHeight="1">
      <c r="A6" s="70" t="s">
        <v>136</v>
      </c>
      <c r="B6" s="70" t="s">
        <v>135</v>
      </c>
      <c r="C6" s="56"/>
      <c r="D6" s="56"/>
      <c r="E6" s="56"/>
      <c r="F6" s="56"/>
    </row>
    <row r="7" spans="1:6" ht="15" customHeight="1">
      <c r="A7" s="70">
        <v>5302142</v>
      </c>
      <c r="B7" s="70" t="s">
        <v>137</v>
      </c>
      <c r="C7" s="57"/>
      <c r="D7" s="57"/>
      <c r="E7" s="57"/>
      <c r="F7" s="57"/>
    </row>
    <row r="8" spans="1:6" ht="15" customHeight="1">
      <c r="A8" s="70">
        <v>3168898</v>
      </c>
      <c r="B8" s="70" t="s">
        <v>138</v>
      </c>
      <c r="C8" s="57"/>
      <c r="D8" s="57"/>
      <c r="E8" s="57"/>
      <c r="F8" s="57"/>
    </row>
    <row r="9" spans="1:6" ht="15" customHeight="1">
      <c r="A9" s="70">
        <v>3168906</v>
      </c>
      <c r="B9" s="70" t="s">
        <v>139</v>
      </c>
      <c r="C9" s="57"/>
      <c r="D9" s="57"/>
      <c r="E9" s="57"/>
      <c r="F9" s="57"/>
    </row>
    <row r="10" spans="1:6" ht="15" customHeight="1">
      <c r="A10" s="70">
        <v>5201002</v>
      </c>
      <c r="B10" s="70" t="s">
        <v>140</v>
      </c>
      <c r="C10" s="57"/>
      <c r="D10" s="57"/>
      <c r="E10" s="57"/>
      <c r="F10" s="57"/>
    </row>
    <row r="11" spans="1:6" ht="15" customHeight="1">
      <c r="A11" s="70">
        <v>5201003</v>
      </c>
      <c r="B11" s="70" t="s">
        <v>117</v>
      </c>
    </row>
    <row r="12" spans="1:6" ht="15" customHeight="1">
      <c r="A12" s="70">
        <v>3378081</v>
      </c>
      <c r="B12" s="70" t="s">
        <v>141</v>
      </c>
    </row>
    <row r="13" spans="1:6" ht="15" customHeight="1">
      <c r="A13" s="70">
        <v>3168904</v>
      </c>
      <c r="B13" s="70" t="s">
        <v>142</v>
      </c>
    </row>
    <row r="14" spans="1:6" ht="15" customHeight="1">
      <c r="A14" s="70">
        <v>5201114</v>
      </c>
      <c r="B14" s="70" t="s">
        <v>143</v>
      </c>
    </row>
    <row r="15" spans="1:6" ht="15" customHeight="1">
      <c r="A15" s="70">
        <v>5301116</v>
      </c>
      <c r="B15" s="70" t="s">
        <v>144</v>
      </c>
    </row>
    <row r="16" spans="1:6" ht="15" customHeight="1">
      <c r="A16" s="72">
        <v>5201008</v>
      </c>
      <c r="B16" s="70" t="s">
        <v>145</v>
      </c>
    </row>
    <row r="17" spans="1:2" ht="15" customHeight="1">
      <c r="A17" s="75">
        <v>5301014</v>
      </c>
      <c r="B17" s="71" t="s">
        <v>3</v>
      </c>
    </row>
    <row r="18" spans="1:2" ht="15" customHeight="1">
      <c r="A18" s="70">
        <v>5301026</v>
      </c>
      <c r="B18" s="70" t="s">
        <v>146</v>
      </c>
    </row>
    <row r="19" spans="1:2" ht="15" customHeight="1">
      <c r="A19" s="70">
        <v>5301029</v>
      </c>
      <c r="B19" s="70" t="s">
        <v>146</v>
      </c>
    </row>
    <row r="20" spans="1:2" ht="15" customHeight="1">
      <c r="A20" s="70">
        <v>5301028</v>
      </c>
      <c r="B20" s="70" t="s">
        <v>146</v>
      </c>
    </row>
    <row r="21" spans="1:2" ht="15" customHeight="1">
      <c r="A21" s="70">
        <v>3387398</v>
      </c>
      <c r="B21" s="70" t="s">
        <v>17</v>
      </c>
    </row>
    <row r="22" spans="1:2" ht="15" customHeight="1">
      <c r="A22" s="70">
        <v>3185810</v>
      </c>
      <c r="B22" s="74" t="s">
        <v>147</v>
      </c>
    </row>
    <row r="23" spans="1:2" ht="15" customHeight="1">
      <c r="A23" s="70">
        <v>3185808</v>
      </c>
      <c r="B23" s="74" t="s">
        <v>147</v>
      </c>
    </row>
    <row r="24" spans="1:2" ht="15" customHeight="1">
      <c r="A24" s="70">
        <v>3387431</v>
      </c>
      <c r="B24" s="70" t="s">
        <v>148</v>
      </c>
    </row>
    <row r="25" spans="1:2" ht="15" customHeight="1">
      <c r="A25" s="70">
        <v>5204308</v>
      </c>
      <c r="B25" s="70" t="s">
        <v>149</v>
      </c>
    </row>
    <row r="26" spans="1:2" ht="15" customHeight="1">
      <c r="A26" s="70">
        <v>5304364</v>
      </c>
      <c r="B26" s="70" t="s">
        <v>150</v>
      </c>
    </row>
    <row r="27" spans="1:2" ht="15" customHeight="1">
      <c r="A27" s="72">
        <v>5201370</v>
      </c>
      <c r="B27" s="72" t="s">
        <v>151</v>
      </c>
    </row>
    <row r="28" spans="1:2" ht="15" customHeight="1">
      <c r="A28" s="76">
        <v>5201381</v>
      </c>
      <c r="B28" s="76" t="s">
        <v>152</v>
      </c>
    </row>
    <row r="29" spans="1:2" ht="15" customHeight="1">
      <c r="A29" s="76">
        <v>5301373</v>
      </c>
      <c r="B29" s="76" t="s">
        <v>153</v>
      </c>
    </row>
    <row r="30" spans="1:2" ht="15" customHeight="1">
      <c r="A30" s="76">
        <v>5301374</v>
      </c>
      <c r="B30" s="76" t="s">
        <v>153</v>
      </c>
    </row>
    <row r="31" spans="1:2" ht="15" customHeight="1">
      <c r="A31" s="76">
        <v>5301402</v>
      </c>
      <c r="B31" s="76" t="s">
        <v>153</v>
      </c>
    </row>
    <row r="32" spans="1:2" ht="15" customHeight="1">
      <c r="A32" s="76">
        <v>5301386</v>
      </c>
      <c r="B32" s="76" t="s">
        <v>154</v>
      </c>
    </row>
    <row r="33" spans="1:2" ht="15" customHeight="1">
      <c r="A33" s="76">
        <v>5201378</v>
      </c>
      <c r="B33" s="76" t="s">
        <v>155</v>
      </c>
    </row>
    <row r="34" spans="1:2" ht="15" customHeight="1">
      <c r="A34" s="76">
        <v>5301372</v>
      </c>
      <c r="B34" s="76" t="s">
        <v>156</v>
      </c>
    </row>
    <row r="35" spans="1:2" ht="15" customHeight="1">
      <c r="A35" s="76">
        <v>5301379</v>
      </c>
      <c r="B35" s="76" t="s">
        <v>157</v>
      </c>
    </row>
    <row r="36" spans="1:2" ht="15" customHeight="1">
      <c r="A36" s="76">
        <v>5301413</v>
      </c>
      <c r="B36" s="76" t="s">
        <v>158</v>
      </c>
    </row>
    <row r="37" spans="1:2" ht="15" customHeight="1">
      <c r="A37" s="76">
        <v>5301405</v>
      </c>
      <c r="B37" s="76" t="s">
        <v>159</v>
      </c>
    </row>
    <row r="38" spans="1:2" ht="15" customHeight="1">
      <c r="A38" s="76">
        <v>5201443</v>
      </c>
      <c r="B38" s="76" t="s">
        <v>26</v>
      </c>
    </row>
    <row r="39" spans="1:2" ht="15" customHeight="1">
      <c r="A39" s="76">
        <v>5201444</v>
      </c>
      <c r="B39" s="76" t="s">
        <v>70</v>
      </c>
    </row>
    <row r="40" spans="1:2" ht="15" customHeight="1">
      <c r="A40" s="76">
        <v>5201463</v>
      </c>
      <c r="B40" s="76" t="s">
        <v>160</v>
      </c>
    </row>
    <row r="41" spans="1:2" ht="15" customHeight="1">
      <c r="A41" s="76">
        <v>5301447</v>
      </c>
      <c r="B41" s="76" t="s">
        <v>18</v>
      </c>
    </row>
    <row r="42" spans="1:2" ht="15" customHeight="1">
      <c r="A42" s="76">
        <v>5301448</v>
      </c>
      <c r="B42" s="76" t="s">
        <v>18</v>
      </c>
    </row>
    <row r="43" spans="1:2" ht="15" customHeight="1">
      <c r="A43" s="76">
        <v>5301584</v>
      </c>
      <c r="B43" s="76" t="s">
        <v>48</v>
      </c>
    </row>
    <row r="44" spans="1:2" ht="15" customHeight="1">
      <c r="A44" s="76">
        <v>5301513</v>
      </c>
      <c r="B44" s="76" t="s">
        <v>48</v>
      </c>
    </row>
    <row r="45" spans="1:2" ht="15" customHeight="1">
      <c r="A45" s="76">
        <v>5201452</v>
      </c>
      <c r="B45" s="76" t="s">
        <v>161</v>
      </c>
    </row>
    <row r="46" spans="1:2" ht="15" customHeight="1">
      <c r="A46" s="76">
        <v>5201449</v>
      </c>
      <c r="B46" s="76" t="s">
        <v>162</v>
      </c>
    </row>
    <row r="47" spans="1:2" ht="15" customHeight="1">
      <c r="A47" s="76">
        <v>5201451</v>
      </c>
      <c r="B47" s="76" t="s">
        <v>163</v>
      </c>
    </row>
    <row r="48" spans="1:2" ht="15" customHeight="1">
      <c r="A48" s="76">
        <v>5202422</v>
      </c>
      <c r="B48" s="76">
        <v>9117806</v>
      </c>
    </row>
    <row r="49" spans="1:2" ht="15" customHeight="1">
      <c r="A49" s="76">
        <v>5202423</v>
      </c>
      <c r="B49" s="76">
        <v>9354459</v>
      </c>
    </row>
    <row r="50" spans="1:2" ht="15" customHeight="1">
      <c r="A50" s="76">
        <v>5202425</v>
      </c>
      <c r="B50" s="76">
        <v>9354462</v>
      </c>
    </row>
    <row r="51" spans="1:2" ht="15" customHeight="1">
      <c r="A51" s="76">
        <v>5202426</v>
      </c>
      <c r="B51" s="76">
        <v>9354463</v>
      </c>
    </row>
    <row r="52" spans="1:2" ht="15" customHeight="1">
      <c r="A52" s="76">
        <v>5202427</v>
      </c>
      <c r="B52" s="76">
        <v>9354464</v>
      </c>
    </row>
    <row r="53" spans="1:2" ht="15" customHeight="1">
      <c r="A53" s="76">
        <v>5202428</v>
      </c>
      <c r="B53" s="76">
        <v>9354471</v>
      </c>
    </row>
    <row r="54" spans="1:2" ht="15" customHeight="1">
      <c r="A54" s="76">
        <v>5202429</v>
      </c>
      <c r="B54" s="76">
        <v>9354473</v>
      </c>
    </row>
    <row r="55" spans="1:2" ht="15" customHeight="1">
      <c r="A55" s="76">
        <v>5202430</v>
      </c>
      <c r="B55" s="76">
        <v>9354473</v>
      </c>
    </row>
    <row r="56" spans="1:2" ht="15" customHeight="1">
      <c r="A56" s="76">
        <v>5202432</v>
      </c>
      <c r="B56" s="76">
        <v>9354474</v>
      </c>
    </row>
    <row r="57" spans="1:2" ht="15" customHeight="1">
      <c r="A57" s="76">
        <v>5202433</v>
      </c>
      <c r="B57" s="76">
        <v>9354474</v>
      </c>
    </row>
    <row r="58" spans="1:2" ht="15" customHeight="1">
      <c r="A58" s="76">
        <v>5202434</v>
      </c>
      <c r="B58" s="76">
        <v>9354475</v>
      </c>
    </row>
    <row r="59" spans="1:2" ht="15" customHeight="1">
      <c r="A59" s="76">
        <v>5202435</v>
      </c>
      <c r="B59" s="76">
        <v>9354475</v>
      </c>
    </row>
    <row r="60" spans="1:2" ht="15" customHeight="1">
      <c r="A60" s="76">
        <v>5202436</v>
      </c>
      <c r="B60" s="76">
        <v>9354475</v>
      </c>
    </row>
    <row r="61" spans="1:2" ht="15" customHeight="1">
      <c r="A61" s="76">
        <v>5202437</v>
      </c>
      <c r="B61" s="76">
        <v>9354476</v>
      </c>
    </row>
    <row r="62" spans="1:2" ht="15" customHeight="1">
      <c r="A62" s="76">
        <v>5202438</v>
      </c>
      <c r="B62" s="76">
        <v>9354476</v>
      </c>
    </row>
    <row r="63" spans="1:2" ht="15" customHeight="1">
      <c r="A63" s="76">
        <v>5202439</v>
      </c>
      <c r="B63" s="76">
        <v>9354476</v>
      </c>
    </row>
    <row r="64" spans="1:2" ht="15" customHeight="1">
      <c r="A64" s="76">
        <v>5202440</v>
      </c>
      <c r="B64" s="76">
        <v>9354478</v>
      </c>
    </row>
    <row r="65" spans="1:2" ht="15" customHeight="1">
      <c r="A65" s="76">
        <v>5202441</v>
      </c>
      <c r="B65" s="76">
        <v>9354478</v>
      </c>
    </row>
    <row r="66" spans="1:2" ht="15" customHeight="1">
      <c r="A66" s="76">
        <v>5202442</v>
      </c>
      <c r="B66" s="76">
        <v>9354478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Toma de tiempos</vt:lpstr>
      <vt:lpstr>Matriz</vt:lpstr>
      <vt:lpstr>Secuencia de estampado</vt:lpstr>
      <vt:lpstr>Estampados por manguera</vt:lpstr>
      <vt:lpstr>Mangueras por contenedor</vt:lpstr>
      <vt:lpstr>Mangueras con manga</vt:lpstr>
      <vt:lpstr>'Secuencia de estampado'!Área_de_impresión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del.procesos_res</dc:creator>
  <cp:lastModifiedBy>gerardo.castillo</cp:lastModifiedBy>
  <cp:lastPrinted>2017-11-03T15:10:29Z</cp:lastPrinted>
  <dcterms:created xsi:type="dcterms:W3CDTF">2016-02-05T16:17:11Z</dcterms:created>
  <dcterms:modified xsi:type="dcterms:W3CDTF">2017-11-03T23:24:27Z</dcterms:modified>
</cp:coreProperties>
</file>